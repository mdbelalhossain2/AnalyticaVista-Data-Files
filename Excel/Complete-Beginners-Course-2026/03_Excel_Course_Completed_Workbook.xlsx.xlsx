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1404186-my.sharepoint.com/personal/bhossain_strategicspartanburg_org/Documents/Desktop/"/>
    </mc:Choice>
  </mc:AlternateContent>
  <xr:revisionPtr revIDLastSave="0" documentId="8_{9CD38BB4-7980-479A-8D1A-74C277B703BD}" xr6:coauthVersionLast="47" xr6:coauthVersionMax="47" xr10:uidLastSave="{00000000-0000-0000-0000-000000000000}"/>
  <bookViews>
    <workbookView xWindow="-110" yWindow="-110" windowWidth="19420" windowHeight="11500" activeTab="2" xr2:uid="{C398C1BC-F7B5-4F45-92D6-9FFFE0EECA9B}"/>
  </bookViews>
  <sheets>
    <sheet name="Start_Here" sheetId="1" r:id="rId1"/>
    <sheet name="Pivot_Table" sheetId="11" r:id="rId2"/>
    <sheet name="Final_Report" sheetId="16" r:id="rId3"/>
    <sheet name="Participant_Data" sheetId="2" r:id="rId4"/>
    <sheet name="Staff_Lookup" sheetId="3" r:id="rId5"/>
    <sheet name="Cleaning Data" sheetId="7" r:id="rId6"/>
    <sheet name="Region_Targets" sheetId="4" r:id="rId7"/>
    <sheet name="Analysis" sheetId="5" r:id="rId8"/>
  </sheet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T12" i="2"/>
  <c r="T7" i="2"/>
  <c r="T6" i="2"/>
  <c r="T5" i="2"/>
  <c r="T4" i="2"/>
  <c r="T3" i="2"/>
  <c r="T2" i="2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P3" i="2"/>
  <c r="Q3" i="2" s="1"/>
  <c r="P4" i="2"/>
  <c r="Q4" i="2" s="1"/>
  <c r="P5" i="2"/>
  <c r="Q5" i="2" s="1"/>
  <c r="P6" i="2"/>
  <c r="Q6" i="2" s="1"/>
  <c r="P7" i="2"/>
  <c r="Q7" i="2" s="1"/>
  <c r="P2" i="2"/>
  <c r="Q2" i="2" s="1"/>
  <c r="O3" i="2"/>
  <c r="O4" i="2"/>
  <c r="O5" i="2"/>
  <c r="O6" i="2"/>
  <c r="O7" i="2"/>
  <c r="O2" i="2"/>
  <c r="T11" i="2" l="1"/>
  <c r="T10" i="2"/>
  <c r="T13" i="2"/>
</calcChain>
</file>

<file path=xl/sharedStrings.xml><?xml version="1.0" encoding="utf-8"?>
<sst xmlns="http://schemas.openxmlformats.org/spreadsheetml/2006/main" count="1314" uniqueCount="461">
  <si>
    <t>Participant_ID</t>
  </si>
  <si>
    <t>Participant_Name</t>
  </si>
  <si>
    <t>Enrollment_Date</t>
  </si>
  <si>
    <t>Program</t>
  </si>
  <si>
    <t>Region</t>
  </si>
  <si>
    <t>Delivery_Mode</t>
  </si>
  <si>
    <t>Staff_ID</t>
  </si>
  <si>
    <t>Sessions_Offered</t>
  </si>
  <si>
    <t>Sessions_Attended</t>
  </si>
  <si>
    <t>Pre_Score</t>
  </si>
  <si>
    <t>Post_Score</t>
  </si>
  <si>
    <t>Program_Fee</t>
  </si>
  <si>
    <t>Satisfaction</t>
  </si>
  <si>
    <t>P001</t>
  </si>
  <si>
    <t>Amina Rahman</t>
  </si>
  <si>
    <t>Digital Skills</t>
  </si>
  <si>
    <t>North</t>
  </si>
  <si>
    <t>In Person</t>
  </si>
  <si>
    <t>S101</t>
  </si>
  <si>
    <t>P002</t>
  </si>
  <si>
    <t>James Carter</t>
  </si>
  <si>
    <t>Career Readiness</t>
  </si>
  <si>
    <t>South</t>
  </si>
  <si>
    <t>Online</t>
  </si>
  <si>
    <t>S102</t>
  </si>
  <si>
    <t>P003</t>
  </si>
  <si>
    <t>Maria Lopez</t>
  </si>
  <si>
    <t>Financial Literacy</t>
  </si>
  <si>
    <t>East</t>
  </si>
  <si>
    <t>Hybrid</t>
  </si>
  <si>
    <t>S103</t>
  </si>
  <si>
    <t>P004</t>
  </si>
  <si>
    <t>David Thompson</t>
  </si>
  <si>
    <t>West</t>
  </si>
  <si>
    <t>S104</t>
  </si>
  <si>
    <t>P005</t>
  </si>
  <si>
    <t>Fatima Ahmed</t>
  </si>
  <si>
    <t>Daniel Wilson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</si>
  <si>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</si>
  <si>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</si>
  <si>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</si>
  <si>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</si>
  <si>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</si>
  <si>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</si>
  <si>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</si>
  <si>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</si>
  <si>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</si>
  <si>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</si>
  <si>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</si>
  <si>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</si>
  <si>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</si>
  <si>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</si>
  <si>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</si>
  <si>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Score Change</t>
  </si>
  <si>
    <t>Attendance Rate</t>
  </si>
  <si>
    <t>Noah Anderson</t>
  </si>
  <si>
    <t>Olivia Anderson</t>
  </si>
  <si>
    <t>S106</t>
  </si>
  <si>
    <t>Ethan Anderson</t>
  </si>
  <si>
    <t>S105</t>
  </si>
  <si>
    <t>Sophia Anderson</t>
  </si>
  <si>
    <t>Liam Anderson</t>
  </si>
  <si>
    <t>Maya Anderson</t>
  </si>
  <si>
    <t>Lucas Anderson</t>
  </si>
  <si>
    <t>Isabella Anderson</t>
  </si>
  <si>
    <t>Mason Anderson</t>
  </si>
  <si>
    <t>Zoe Anderson</t>
  </si>
  <si>
    <t>Henry Anderson</t>
  </si>
  <si>
    <t>Nora Anderson</t>
  </si>
  <si>
    <t>Samuel Anderson</t>
  </si>
  <si>
    <t>Layla Anderson</t>
  </si>
  <si>
    <t>P021</t>
  </si>
  <si>
    <t>Gabriel Anderson</t>
  </si>
  <si>
    <t>P022</t>
  </si>
  <si>
    <t>Chloe Anderson</t>
  </si>
  <si>
    <t>P023</t>
  </si>
  <si>
    <t>Owen Anderson</t>
  </si>
  <si>
    <t>P024</t>
  </si>
  <si>
    <t>Aria Anderson</t>
  </si>
  <si>
    <t>P025</t>
  </si>
  <si>
    <t>Caleb Anderson</t>
  </si>
  <si>
    <t>P026</t>
  </si>
  <si>
    <t>Elena Anderson</t>
  </si>
  <si>
    <t>P027</t>
  </si>
  <si>
    <t>Noah Bennett</t>
  </si>
  <si>
    <t>P028</t>
  </si>
  <si>
    <t>Olivia Bennett</t>
  </si>
  <si>
    <t>P029</t>
  </si>
  <si>
    <t>Ethan Bennett</t>
  </si>
  <si>
    <t>P030</t>
  </si>
  <si>
    <t>Sophia Bennett</t>
  </si>
  <si>
    <t>P031</t>
  </si>
  <si>
    <t>Liam Bennett</t>
  </si>
  <si>
    <t>P032</t>
  </si>
  <si>
    <t>Maya Bennett</t>
  </si>
  <si>
    <t>P033</t>
  </si>
  <si>
    <t>Lucas Bennett</t>
  </si>
  <si>
    <t>P034</t>
  </si>
  <si>
    <t>Isabella Bennett</t>
  </si>
  <si>
    <t>P035</t>
  </si>
  <si>
    <t>Mason Bennett</t>
  </si>
  <si>
    <t>P036</t>
  </si>
  <si>
    <t>Zoe Bennett</t>
  </si>
  <si>
    <t>P037</t>
  </si>
  <si>
    <t>Henry Bennett</t>
  </si>
  <si>
    <t>P038</t>
  </si>
  <si>
    <t>Nora Bennett</t>
  </si>
  <si>
    <t>P039</t>
  </si>
  <si>
    <t>Samuel Bennett</t>
  </si>
  <si>
    <t>P040</t>
  </si>
  <si>
    <t>Layla Bennett</t>
  </si>
  <si>
    <t>P041</t>
  </si>
  <si>
    <t>Gabriel Bennett</t>
  </si>
  <si>
    <t>P042</t>
  </si>
  <si>
    <t>Chloe Bennett</t>
  </si>
  <si>
    <t>P043</t>
  </si>
  <si>
    <t>Owen Bennett</t>
  </si>
  <si>
    <t>P044</t>
  </si>
  <si>
    <t>Aria Bennett</t>
  </si>
  <si>
    <t>P045</t>
  </si>
  <si>
    <t>Caleb Bennett</t>
  </si>
  <si>
    <t>P046</t>
  </si>
  <si>
    <t>Elena Bennett</t>
  </si>
  <si>
    <t>P047</t>
  </si>
  <si>
    <t>Noah Clark</t>
  </si>
  <si>
    <t>P048</t>
  </si>
  <si>
    <t>Olivia Clark</t>
  </si>
  <si>
    <t>P049</t>
  </si>
  <si>
    <t>Ethan Clark</t>
  </si>
  <si>
    <t>P050</t>
  </si>
  <si>
    <t>Sophia Clark</t>
  </si>
  <si>
    <t>P051</t>
  </si>
  <si>
    <t>Liam Clark</t>
  </si>
  <si>
    <t>P052</t>
  </si>
  <si>
    <t>Maya Clark</t>
  </si>
  <si>
    <t>P053</t>
  </si>
  <si>
    <t>Lucas Clark</t>
  </si>
  <si>
    <t>P054</t>
  </si>
  <si>
    <t>Isabella Clark</t>
  </si>
  <si>
    <t>P055</t>
  </si>
  <si>
    <t>Mason Clark</t>
  </si>
  <si>
    <t>P056</t>
  </si>
  <si>
    <t>Zoe Clark</t>
  </si>
  <si>
    <t>P057</t>
  </si>
  <si>
    <t>Henry Clark</t>
  </si>
  <si>
    <t>P058</t>
  </si>
  <si>
    <t>Nora Clark</t>
  </si>
  <si>
    <t>P059</t>
  </si>
  <si>
    <t>Samuel Clark</t>
  </si>
  <si>
    <t>P060</t>
  </si>
  <si>
    <t>Layla Clark</t>
  </si>
  <si>
    <t>P061</t>
  </si>
  <si>
    <t>Gabriel Clark</t>
  </si>
  <si>
    <t>P062</t>
  </si>
  <si>
    <t>Chloe Clark</t>
  </si>
  <si>
    <t>P063</t>
  </si>
  <si>
    <t>Owen Clark</t>
  </si>
  <si>
    <t>P064</t>
  </si>
  <si>
    <t>Aria Clark</t>
  </si>
  <si>
    <t>P065</t>
  </si>
  <si>
    <t>Caleb Clark</t>
  </si>
  <si>
    <t>P066</t>
  </si>
  <si>
    <t>Elena Clark</t>
  </si>
  <si>
    <t>P067</t>
  </si>
  <si>
    <t>Noah Davis</t>
  </si>
  <si>
    <t>P068</t>
  </si>
  <si>
    <t>Olivia Davis</t>
  </si>
  <si>
    <t>P069</t>
  </si>
  <si>
    <t>Ethan Davis</t>
  </si>
  <si>
    <t>P070</t>
  </si>
  <si>
    <t>Sophia Davis</t>
  </si>
  <si>
    <t>P071</t>
  </si>
  <si>
    <t>Liam Davis</t>
  </si>
  <si>
    <t>P072</t>
  </si>
  <si>
    <t>Maya Davis</t>
  </si>
  <si>
    <t>P073</t>
  </si>
  <si>
    <t>Lucas Davis</t>
  </si>
  <si>
    <t>P074</t>
  </si>
  <si>
    <t>Isabella Davis</t>
  </si>
  <si>
    <t>P075</t>
  </si>
  <si>
    <t>Mason Davis</t>
  </si>
  <si>
    <t>P076</t>
  </si>
  <si>
    <t>Zoe Davis</t>
  </si>
  <si>
    <t>P077</t>
  </si>
  <si>
    <t>Henry Davis</t>
  </si>
  <si>
    <t>P078</t>
  </si>
  <si>
    <t>Nora Davis</t>
  </si>
  <si>
    <t>P079</t>
  </si>
  <si>
    <t>Samuel Davis</t>
  </si>
  <si>
    <t>P080</t>
  </si>
  <si>
    <t>Layla Davis</t>
  </si>
  <si>
    <t>P081</t>
  </si>
  <si>
    <t>Gabriel Davis</t>
  </si>
  <si>
    <t>P082</t>
  </si>
  <si>
    <t>Chloe Davis</t>
  </si>
  <si>
    <t>P083</t>
  </si>
  <si>
    <t>Owen Davis</t>
  </si>
  <si>
    <t>P084</t>
  </si>
  <si>
    <t>Aria Davis</t>
  </si>
  <si>
    <t>P085</t>
  </si>
  <si>
    <t>Caleb Davis</t>
  </si>
  <si>
    <t>P086</t>
  </si>
  <si>
    <t>Elena Davis</t>
  </si>
  <si>
    <t>P087</t>
  </si>
  <si>
    <t>Noah Evans</t>
  </si>
  <si>
    <t>P088</t>
  </si>
  <si>
    <t>Olivia Evans</t>
  </si>
  <si>
    <t>P089</t>
  </si>
  <si>
    <t>Ethan Evans</t>
  </si>
  <si>
    <t>P090</t>
  </si>
  <si>
    <t>Sophia Evans</t>
  </si>
  <si>
    <t>P091</t>
  </si>
  <si>
    <t>Liam Evans</t>
  </si>
  <si>
    <t>P092</t>
  </si>
  <si>
    <t>Maya Evans</t>
  </si>
  <si>
    <t>P093</t>
  </si>
  <si>
    <t>Lucas Evans</t>
  </si>
  <si>
    <t>P094</t>
  </si>
  <si>
    <t>Isabella Evans</t>
  </si>
  <si>
    <t>P095</t>
  </si>
  <si>
    <t>Mason Evans</t>
  </si>
  <si>
    <t>P096</t>
  </si>
  <si>
    <t>Zoe Evans</t>
  </si>
  <si>
    <t>P097</t>
  </si>
  <si>
    <t>Henry Evans</t>
  </si>
  <si>
    <t>P098</t>
  </si>
  <si>
    <t>Nora Evans</t>
  </si>
  <si>
    <t>P099</t>
  </si>
  <si>
    <t>Samuel Evans</t>
  </si>
  <si>
    <t>P100</t>
  </si>
  <si>
    <t>Layla Evans</t>
  </si>
  <si>
    <t>P101</t>
  </si>
  <si>
    <t>Gabriel Evans</t>
  </si>
  <si>
    <t>P102</t>
  </si>
  <si>
    <t>Chloe Evans</t>
  </si>
  <si>
    <t>P103</t>
  </si>
  <si>
    <t>Owen Evans</t>
  </si>
  <si>
    <t>P104</t>
  </si>
  <si>
    <t>Aria Evans</t>
  </si>
  <si>
    <t>P105</t>
  </si>
  <si>
    <t>Caleb Evans</t>
  </si>
  <si>
    <t>P106</t>
  </si>
  <si>
    <t>Elena Evans</t>
  </si>
  <si>
    <t>P107</t>
  </si>
  <si>
    <t>Noah Foster</t>
  </si>
  <si>
    <t>P108</t>
  </si>
  <si>
    <t>Olivia Foster</t>
  </si>
  <si>
    <t>P109</t>
  </si>
  <si>
    <t>Ethan Foster</t>
  </si>
  <si>
    <t>P110</t>
  </si>
  <si>
    <t>Sophia Foster</t>
  </si>
  <si>
    <t>P111</t>
  </si>
  <si>
    <t>Liam Foster</t>
  </si>
  <si>
    <t>P112</t>
  </si>
  <si>
    <t>Maya Foster</t>
  </si>
  <si>
    <t>P113</t>
  </si>
  <si>
    <t>Lucas Foster</t>
  </si>
  <si>
    <t>P114</t>
  </si>
  <si>
    <t>Isabella Foster</t>
  </si>
  <si>
    <t>P115</t>
  </si>
  <si>
    <t>Mason Foster</t>
  </si>
  <si>
    <t>P116</t>
  </si>
  <si>
    <t>Zoe Foster</t>
  </si>
  <si>
    <t>P117</t>
  </si>
  <si>
    <t>Henry Foster</t>
  </si>
  <si>
    <t>P118</t>
  </si>
  <si>
    <t>Nora Foster</t>
  </si>
  <si>
    <t>P119</t>
  </si>
  <si>
    <t>Samuel Foster</t>
  </si>
  <si>
    <t>P120</t>
  </si>
  <si>
    <t>Layla Foster</t>
  </si>
  <si>
    <t>P121</t>
  </si>
  <si>
    <t>Gabriel Foster</t>
  </si>
  <si>
    <t>P122</t>
  </si>
  <si>
    <t>Chloe Foster</t>
  </si>
  <si>
    <t>P123</t>
  </si>
  <si>
    <t>Owen Foster</t>
  </si>
  <si>
    <t>P124</t>
  </si>
  <si>
    <t>Aria Foster</t>
  </si>
  <si>
    <t>P125</t>
  </si>
  <si>
    <t>Caleb Foster</t>
  </si>
  <si>
    <t>P126</t>
  </si>
  <si>
    <t>Elena Foster</t>
  </si>
  <si>
    <t>P127</t>
  </si>
  <si>
    <t>Noah Garcia</t>
  </si>
  <si>
    <t>P128</t>
  </si>
  <si>
    <t>Olivia Garcia</t>
  </si>
  <si>
    <t>P129</t>
  </si>
  <si>
    <t>Ethan Garcia</t>
  </si>
  <si>
    <t>P130</t>
  </si>
  <si>
    <t>Sophia Garcia</t>
  </si>
  <si>
    <t>P131</t>
  </si>
  <si>
    <t>Liam Garcia</t>
  </si>
  <si>
    <t>P132</t>
  </si>
  <si>
    <t>Maya Garcia</t>
  </si>
  <si>
    <t>P133</t>
  </si>
  <si>
    <t>Lucas Garcia</t>
  </si>
  <si>
    <t>P134</t>
  </si>
  <si>
    <t>Isabella Garcia</t>
  </si>
  <si>
    <t>P135</t>
  </si>
  <si>
    <t>Mason Garcia</t>
  </si>
  <si>
    <t>P136</t>
  </si>
  <si>
    <t>Zoe Garcia</t>
  </si>
  <si>
    <t>P137</t>
  </si>
  <si>
    <t>Henry Garcia</t>
  </si>
  <si>
    <t>P138</t>
  </si>
  <si>
    <t>Nora Garcia</t>
  </si>
  <si>
    <t>P139</t>
  </si>
  <si>
    <t>Samuel Garcia</t>
  </si>
  <si>
    <t>P140</t>
  </si>
  <si>
    <t>Layla Garcia</t>
  </si>
  <si>
    <t>P141</t>
  </si>
  <si>
    <t>Gabriel Garcia</t>
  </si>
  <si>
    <t>P142</t>
  </si>
  <si>
    <t>Chloe Garcia</t>
  </si>
  <si>
    <t>P143</t>
  </si>
  <si>
    <t>Owen Garcia</t>
  </si>
  <si>
    <t>P144</t>
  </si>
  <si>
    <t>Aria Garcia</t>
  </si>
  <si>
    <t>P145</t>
  </si>
  <si>
    <t>Caleb Garcia</t>
  </si>
  <si>
    <t>P146</t>
  </si>
  <si>
    <t>Elena Garcia</t>
  </si>
  <si>
    <t>P147</t>
  </si>
  <si>
    <t>Noah Harris</t>
  </si>
  <si>
    <t>P148</t>
  </si>
  <si>
    <t>Olivia Harris</t>
  </si>
  <si>
    <t>P149</t>
  </si>
  <si>
    <t>Ethan Harris</t>
  </si>
  <si>
    <t>P150</t>
  </si>
  <si>
    <t>Sophia Harris</t>
  </si>
  <si>
    <t>P151</t>
  </si>
  <si>
    <t>Liam Harris</t>
  </si>
  <si>
    <t>P152</t>
  </si>
  <si>
    <t>Maya Harris</t>
  </si>
  <si>
    <t>P153</t>
  </si>
  <si>
    <t>Lucas Harris</t>
  </si>
  <si>
    <t>P154</t>
  </si>
  <si>
    <t>Isabella Harris</t>
  </si>
  <si>
    <t>P155</t>
  </si>
  <si>
    <t>Mason Harris</t>
  </si>
  <si>
    <t>P156</t>
  </si>
  <si>
    <t>Zoe Harris</t>
  </si>
  <si>
    <t>P157</t>
  </si>
  <si>
    <t>Henry Harris</t>
  </si>
  <si>
    <t>P158</t>
  </si>
  <si>
    <t>Nora Harris</t>
  </si>
  <si>
    <t>P159</t>
  </si>
  <si>
    <t>Samuel Harris</t>
  </si>
  <si>
    <t>P160</t>
  </si>
  <si>
    <t>Layla Harris</t>
  </si>
  <si>
    <t>P161</t>
  </si>
  <si>
    <t>Gabriel Harris</t>
  </si>
  <si>
    <t>P162</t>
  </si>
  <si>
    <t>Chloe Harris</t>
  </si>
  <si>
    <t>P163</t>
  </si>
  <si>
    <t>Owen Harris</t>
  </si>
  <si>
    <t>P164</t>
  </si>
  <si>
    <t>Aria Harris</t>
  </si>
  <si>
    <t>P165</t>
  </si>
  <si>
    <t>Caleb Harris</t>
  </si>
  <si>
    <t>P166</t>
  </si>
  <si>
    <t>Elena Harris</t>
  </si>
  <si>
    <t>P167</t>
  </si>
  <si>
    <t>Noah Iqbal</t>
  </si>
  <si>
    <t>P168</t>
  </si>
  <si>
    <t>Olivia Iqbal</t>
  </si>
  <si>
    <t>P169</t>
  </si>
  <si>
    <t>Ethan Iqbal</t>
  </si>
  <si>
    <t>P170</t>
  </si>
  <si>
    <t>Sophia Iqbal</t>
  </si>
  <si>
    <t>P171</t>
  </si>
  <si>
    <t>Liam Iqbal</t>
  </si>
  <si>
    <t>P172</t>
  </si>
  <si>
    <t>Maya Iqbal</t>
  </si>
  <si>
    <t>P173</t>
  </si>
  <si>
    <t>Lucas Iqbal</t>
  </si>
  <si>
    <t>P174</t>
  </si>
  <si>
    <t>Isabella Iqbal</t>
  </si>
  <si>
    <t>P175</t>
  </si>
  <si>
    <t>Mason Iqbal</t>
  </si>
  <si>
    <t>P176</t>
  </si>
  <si>
    <t>Zoe Iqbal</t>
  </si>
  <si>
    <t>P177</t>
  </si>
  <si>
    <t>Henry Iqbal</t>
  </si>
  <si>
    <t>P178</t>
  </si>
  <si>
    <t>Nora Iqbal</t>
  </si>
  <si>
    <t>P179</t>
  </si>
  <si>
    <t>Samuel Iqbal</t>
  </si>
  <si>
    <t>P180</t>
  </si>
  <si>
    <t>Layla Iqbal</t>
  </si>
  <si>
    <t>P181</t>
  </si>
  <si>
    <t>Gabriel Iqbal</t>
  </si>
  <si>
    <t>P182</t>
  </si>
  <si>
    <t>Chloe Iqbal</t>
  </si>
  <si>
    <t>P183</t>
  </si>
  <si>
    <t>Owen Iqbal</t>
  </si>
  <si>
    <t>P184</t>
  </si>
  <si>
    <t>Aria Iqbal</t>
  </si>
  <si>
    <t>P185</t>
  </si>
  <si>
    <t>Caleb Iqbal</t>
  </si>
  <si>
    <t>P186</t>
  </si>
  <si>
    <t>Elena Iqbal</t>
  </si>
  <si>
    <t>P187</t>
  </si>
  <si>
    <t>Noah Johnson</t>
  </si>
  <si>
    <t>P188</t>
  </si>
  <si>
    <t>Olivia Johnson</t>
  </si>
  <si>
    <t>P189</t>
  </si>
  <si>
    <t>Ethan Johnson</t>
  </si>
  <si>
    <t>P190</t>
  </si>
  <si>
    <t>Sophia Johnson</t>
  </si>
  <si>
    <t>P191</t>
  </si>
  <si>
    <t>Liam Johnson</t>
  </si>
  <si>
    <t>P192</t>
  </si>
  <si>
    <t>Maya Johnson</t>
  </si>
  <si>
    <t>P193</t>
  </si>
  <si>
    <t>Lucas Johnson</t>
  </si>
  <si>
    <t>P194</t>
  </si>
  <si>
    <t>Isabella Johnson</t>
  </si>
  <si>
    <t>P195</t>
  </si>
  <si>
    <t>Mason Johnson</t>
  </si>
  <si>
    <t>P196</t>
  </si>
  <si>
    <t>Zoe Johnson</t>
  </si>
  <si>
    <t>P197</t>
  </si>
  <si>
    <t>Henry Johnson</t>
  </si>
  <si>
    <t>P198</t>
  </si>
  <si>
    <t>Nora Johnson</t>
  </si>
  <si>
    <t>P199</t>
  </si>
  <si>
    <t>Samuel Johnson</t>
  </si>
  <si>
    <t>P200</t>
  </si>
  <si>
    <t>Layla Johnson</t>
  </si>
  <si>
    <t>Total Program Fees</t>
  </si>
  <si>
    <t>Average Pre-Score</t>
  </si>
  <si>
    <t>Lowest Post-Score</t>
  </si>
  <si>
    <t>Highest Post-Score</t>
  </si>
  <si>
    <t>Number of Pre-Scores</t>
  </si>
  <si>
    <t>Number of Participant Names</t>
  </si>
  <si>
    <t>Summary Measure</t>
  </si>
  <si>
    <t>Result</t>
  </si>
  <si>
    <t>Conditional Measure</t>
  </si>
  <si>
    <t>Completed Participants</t>
  </si>
  <si>
    <t>Participants Needing Follow-Up</t>
  </si>
  <si>
    <t>Digital Skills Fees</t>
  </si>
  <si>
    <t>Average Satisfaction: Completed</t>
  </si>
  <si>
    <t>Completion_Status</t>
  </si>
  <si>
    <t>Completion Threshold</t>
  </si>
  <si>
    <t>Staff_Name</t>
  </si>
  <si>
    <t>Rachel Morgan</t>
  </si>
  <si>
    <t>Michael Brown</t>
  </si>
  <si>
    <t>Priya Patel</t>
  </si>
  <si>
    <t>Carlos Martinez</t>
  </si>
  <si>
    <t>Jennifer Lee</t>
  </si>
  <si>
    <t>Ahmed Hassan</t>
  </si>
  <si>
    <t>Row Labels</t>
  </si>
  <si>
    <t>Grand Total</t>
  </si>
  <si>
    <t>Participant Count</t>
  </si>
  <si>
    <t>Attendance Rate (ave)</t>
  </si>
  <si>
    <t>Average of Score Change</t>
  </si>
  <si>
    <t>Sum of Program_Fee</t>
  </si>
  <si>
    <t>(All)</t>
  </si>
  <si>
    <t>Wrokforce Training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</si>
</sst>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\$#,##0.00"/>
    <numFmt numFmtId="166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22222"/>
      <name val="Arial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6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166" formatCode="&quot;$&quot;#,##0"/>
    </dxf>
    <dxf>
      <numFmt numFmtId="166" formatCode="&quot;$&quot;#,##0"/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numFmt numFmtId="165" formatCode="\$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</a:t>
            </a:r>
            <a:r>
              <a:rPr lang="en-US" baseline="0"/>
              <a:t> Count by Program Type</a:t>
            </a:r>
            <a:endParaRPr lang="en-US"/>
          </a:p>
        </c:rich>
      </c:tx>
      <c:layout>
        <c:manualLayout>
          <c:xMode val="edge"/>
          <c:yMode val="edge"/>
          <c:x val="0.12737489063867019"/>
          <c:y val="1.8433179723502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Final_Report!$B$2</c:f>
              <c:strCache>
                <c:ptCount val="1"/>
                <c:pt idx="0">
                  <c:v>Participant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Final_Report!$A$3:$A$5</c:f>
              <c:strCache>
                <c:ptCount val="3"/>
                <c:pt idx="0">
                  <c:v>Career Readiness</c:v>
                </c:pt>
                <c:pt idx="1">
                  <c:v>Digital Skills</c:v>
                </c:pt>
                <c:pt idx="2">
                  <c:v>Financial Literacy</c:v>
                </c:pt>
              </c:strCache>
            </c:strRef>
          </c:cat>
          <c:val>
            <c:numRef>
              <c:f>Final_Report!$B$3:$B$5</c:f>
              <c:numCache>
                <c:formatCode>General</c:formatCode>
                <c:ptCount val="3"/>
                <c:pt idx="0">
                  <c:v>57</c:v>
                </c:pt>
                <c:pt idx="1">
                  <c:v>86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F-44DA-8C0A-3578BAED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906368"/>
        <c:axId val="1961996944"/>
      </c:barChart>
      <c:catAx>
        <c:axId val="20279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96944"/>
        <c:crosses val="autoZero"/>
        <c:auto val="1"/>
        <c:lblAlgn val="ctr"/>
        <c:lblOffset val="100"/>
        <c:noMultiLvlLbl val="0"/>
      </c:catAx>
      <c:valAx>
        <c:axId val="19619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530224</xdr:colOff>
      <xdr:row>0</xdr:row>
      <xdr:rowOff>22224</xdr:rowOff>
    </xdr:from>
    <xdr:to>
      <xdr:col>10</xdr:col>
      <xdr:colOff>6350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2FCCB-9895-7A81-A921-0FB8F0440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al Hossain" refreshedDate="46305.37711666667" createdVersion="8" refreshedVersion="8" minRefreshableVersion="3" recordCount="200" xr:uid="{AF499862-1686-4016-A6F1-84F33816BD9C}">
  <cacheSource type="worksheet">
    <worksheetSource name="ParticipantData"/>
  </cacheSource>
  <cacheFields count="17">
    <cacheField name="Participant_ID" numFmtId="0">
      <sharedItems/>
    </cacheField>
    <cacheField name="Participant_Name" numFmtId="0">
      <sharedItems/>
    </cacheField>
    <cacheField name="Enrollment_Date" numFmtId="14">
      <sharedItems containsSemiMixedTypes="0" containsNonDate="0" containsDate="1" containsString="0" minDate="2026-09-02T00:00:00" maxDate="2026-12-16T00:00:00"/>
    </cacheField>
    <cacheField name="Program" numFmtId="0">
      <sharedItems count="3">
        <s v="Digital Skills"/>
        <s v="Career Readiness"/>
        <s v="Financial Literacy"/>
      </sharedItems>
    </cacheField>
    <cacheField name="Region" numFmtId="0">
      <sharedItems count="4">
        <s v="North"/>
        <s v="South"/>
        <s v="East"/>
        <s v="West"/>
      </sharedItems>
    </cacheField>
    <cacheField name="Delivery_Mode" numFmtId="0">
      <sharedItems/>
    </cacheField>
    <cacheField name="Staff_ID" numFmtId="0">
      <sharedItems/>
    </cacheField>
    <cacheField name="Staff_Name" numFmtId="0">
      <sharedItems/>
    </cacheField>
    <cacheField name="Sessions_Offered" numFmtId="0">
      <sharedItems containsSemiMixedTypes="0" containsString="0" containsNumber="1" containsInteger="1" minValue="8" maxValue="12"/>
    </cacheField>
    <cacheField name="Sessions_Attended" numFmtId="0">
      <sharedItems containsSemiMixedTypes="0" containsString="0" containsNumber="1" containsInteger="1" minValue="5" maxValue="12"/>
    </cacheField>
    <cacheField name="Pre_Score" numFmtId="0">
      <sharedItems containsSemiMixedTypes="0" containsString="0" containsNumber="1" containsInteger="1" minValue="48" maxValue="78"/>
    </cacheField>
    <cacheField name="Post_Score" numFmtId="0">
      <sharedItems containsSemiMixedTypes="0" containsString="0" containsNumber="1" containsInteger="1" minValue="55" maxValue="98"/>
    </cacheField>
    <cacheField name="Program_Fee" numFmtId="0">
      <sharedItems containsSemiMixedTypes="0" containsString="0" containsNumber="1" containsInteger="1" minValue="75" maxValue="150"/>
    </cacheField>
    <cacheField name="Satisfaction" numFmtId="0">
      <sharedItems containsSemiMixedTypes="0" containsString="0" containsNumber="1" containsInteger="1" minValue="2" maxValue="5"/>
    </cacheField>
    <cacheField name="Score Change" numFmtId="0">
      <sharedItems containsSemiMixedTypes="0" containsString="0" containsNumber="1" containsInteger="1" minValue="7" maxValue="24"/>
    </cacheField>
    <cacheField name="Attendance Rate" numFmtId="9">
      <sharedItems containsSemiMixedTypes="0" containsString="0" containsNumber="1" minValue="0.6" maxValue="1"/>
    </cacheField>
    <cacheField name="Comple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01"/>
    <s v="Amina Rahman"/>
    <d v="2026-09-02T00:00:00"/>
    <x v="0"/>
    <x v="0"/>
    <s v="In Person"/>
    <s v="S101"/>
    <s v="Rachel Morgan"/>
    <n v="10"/>
    <n v="9"/>
    <n v="62"/>
    <n v="81"/>
    <n v="150"/>
    <n v="5"/>
    <n v="19"/>
    <n v="0.9"/>
    <s v="Completed"/>
  </r>
  <r>
    <s v="P002"/>
    <s v="James Carter"/>
    <d v="2026-09-03T00:00:00"/>
    <x v="1"/>
    <x v="1"/>
    <s v="Online"/>
    <s v="S102"/>
    <s v="Michael Brown"/>
    <n v="10"/>
    <n v="7"/>
    <n v="58"/>
    <n v="72"/>
    <n v="125"/>
    <n v="4"/>
    <n v="14"/>
    <n v="0.7"/>
    <s v="Needs Follow-Up"/>
  </r>
  <r>
    <s v="P003"/>
    <s v="Maria Lopez"/>
    <d v="2026-09-04T00:00:00"/>
    <x v="2"/>
    <x v="2"/>
    <s v="Hybrid"/>
    <s v="S103"/>
    <s v="Priya Patel"/>
    <n v="8"/>
    <n v="8"/>
    <n v="67"/>
    <n v="84"/>
    <n v="100"/>
    <n v="5"/>
    <n v="17"/>
    <n v="1"/>
    <s v="Completed"/>
  </r>
  <r>
    <s v="P004"/>
    <s v="David Thompson"/>
    <d v="2026-09-05T00:00:00"/>
    <x v="0"/>
    <x v="3"/>
    <s v="Online"/>
    <s v="S104"/>
    <s v="Carlos Martinez"/>
    <n v="10"/>
    <n v="6"/>
    <n v="55"/>
    <n v="70"/>
    <n v="150"/>
    <n v="3"/>
    <n v="15"/>
    <n v="0.6"/>
    <s v="Needs Follow-Up"/>
  </r>
  <r>
    <s v="P005"/>
    <s v="Fatima Ahmed"/>
    <d v="2026-09-08T00:00:00"/>
    <x v="1"/>
    <x v="0"/>
    <s v="In Person"/>
    <s v="S101"/>
    <s v="Rachel Morgan"/>
    <n v="10"/>
    <n v="10"/>
    <n v="64"/>
    <n v="88"/>
    <n v="125"/>
    <n v="5"/>
    <n v="24"/>
    <n v="1"/>
    <s v="Completed"/>
  </r>
  <r>
    <s v="P006"/>
    <s v="Daniel Wilson"/>
    <d v="2026-09-09T00:00:00"/>
    <x v="0"/>
    <x v="1"/>
    <s v="Online"/>
    <s v="S102"/>
    <s v="Michael Brown"/>
    <n v="10"/>
    <n v="8"/>
    <n v="65"/>
    <n v="79"/>
    <n v="120"/>
    <n v="4"/>
    <n v="14"/>
    <n v="0.8"/>
    <s v="Completed"/>
  </r>
  <r>
    <s v="P007"/>
    <s v="Noah Anderson"/>
    <d v="2026-09-10T00:00:00"/>
    <x v="0"/>
    <x v="0"/>
    <s v="In Person"/>
    <s v="S101"/>
    <s v="Rachel Morgan"/>
    <n v="8"/>
    <n v="8"/>
    <n v="48"/>
    <n v="55"/>
    <n v="150"/>
    <n v="3"/>
    <n v="7"/>
    <n v="1"/>
    <s v="Completed"/>
  </r>
  <r>
    <s v="P008"/>
    <s v="Olivia Anderson"/>
    <d v="2026-09-10T00:00:00"/>
    <x v="2"/>
    <x v="3"/>
    <s v="Online"/>
    <s v="S106"/>
    <s v="Ahmed Hassan"/>
    <n v="10"/>
    <n v="9"/>
    <n v="59"/>
    <n v="73"/>
    <n v="100"/>
    <n v="4"/>
    <n v="14"/>
    <n v="0.9"/>
    <s v="Completed"/>
  </r>
  <r>
    <s v="P009"/>
    <s v="Ethan Anderson"/>
    <d v="2026-09-11T00:00:00"/>
    <x v="1"/>
    <x v="2"/>
    <s v="Hybrid"/>
    <s v="S105"/>
    <s v="Jennifer Lee"/>
    <n v="12"/>
    <n v="10"/>
    <n v="70"/>
    <n v="91"/>
    <n v="125"/>
    <n v="4"/>
    <n v="21"/>
    <n v="0.83333333333333337"/>
    <s v="Completed"/>
  </r>
  <r>
    <s v="P010"/>
    <s v="Sophia Anderson"/>
    <d v="2026-09-11T00:00:00"/>
    <x v="0"/>
    <x v="1"/>
    <s v="In Person"/>
    <s v="S104"/>
    <s v="Carlos Martinez"/>
    <n v="8"/>
    <n v="5"/>
    <n v="51"/>
    <n v="60"/>
    <n v="150"/>
    <n v="3"/>
    <n v="9"/>
    <n v="0.625"/>
    <s v="Needs Follow-Up"/>
  </r>
  <r>
    <s v="P011"/>
    <s v="Liam Anderson"/>
    <d v="2026-09-12T00:00:00"/>
    <x v="2"/>
    <x v="0"/>
    <s v="Hybrid"/>
    <s v="S103"/>
    <s v="Priya Patel"/>
    <n v="10"/>
    <n v="10"/>
    <n v="62"/>
    <n v="78"/>
    <n v="100"/>
    <n v="4"/>
    <n v="16"/>
    <n v="1"/>
    <s v="Completed"/>
  </r>
  <r>
    <s v="P012"/>
    <s v="Maya Anderson"/>
    <d v="2026-09-12T00:00:00"/>
    <x v="1"/>
    <x v="0"/>
    <s v="In Person"/>
    <s v="S102"/>
    <s v="Michael Brown"/>
    <n v="12"/>
    <n v="11"/>
    <n v="73"/>
    <n v="96"/>
    <n v="125"/>
    <n v="4"/>
    <n v="23"/>
    <n v="0.91666666666666663"/>
    <s v="Completed"/>
  </r>
  <r>
    <s v="P013"/>
    <s v="Lucas Anderson"/>
    <d v="2026-09-13T00:00:00"/>
    <x v="0"/>
    <x v="3"/>
    <s v="Online"/>
    <s v="S101"/>
    <s v="Rachel Morgan"/>
    <n v="10"/>
    <n v="8"/>
    <n v="54"/>
    <n v="65"/>
    <n v="150"/>
    <n v="3"/>
    <n v="11"/>
    <n v="0.8"/>
    <s v="Completed"/>
  </r>
  <r>
    <s v="P014"/>
    <s v="Isabella Anderson"/>
    <d v="2026-09-13T00:00:00"/>
    <x v="0"/>
    <x v="2"/>
    <s v="Hybrid"/>
    <s v="S106"/>
    <s v="Ahmed Hassan"/>
    <n v="12"/>
    <n v="9"/>
    <n v="65"/>
    <n v="83"/>
    <n v="150"/>
    <n v="3"/>
    <n v="18"/>
    <n v="0.75"/>
    <s v="Needs Follow-Up"/>
  </r>
  <r>
    <s v="P015"/>
    <s v="Mason Anderson"/>
    <d v="2026-09-14T00:00:00"/>
    <x v="2"/>
    <x v="1"/>
    <s v="Online"/>
    <s v="S105"/>
    <s v="Jennifer Lee"/>
    <n v="8"/>
    <n v="8"/>
    <n v="76"/>
    <n v="83"/>
    <n v="100"/>
    <n v="4"/>
    <n v="7"/>
    <n v="1"/>
    <s v="Completed"/>
  </r>
  <r>
    <s v="P016"/>
    <s v="Zoe Anderson"/>
    <d v="2026-09-14T00:00:00"/>
    <x v="1"/>
    <x v="0"/>
    <s v="Hybrid"/>
    <s v="S105"/>
    <s v="Jennifer Lee"/>
    <n v="10"/>
    <n v="9"/>
    <n v="57"/>
    <n v="71"/>
    <n v="125"/>
    <n v="4"/>
    <n v="14"/>
    <n v="0.9"/>
    <s v="Completed"/>
  </r>
  <r>
    <s v="P017"/>
    <s v="Henry Anderson"/>
    <d v="2026-09-15T00:00:00"/>
    <x v="0"/>
    <x v="0"/>
    <s v="In Person"/>
    <s v="S104"/>
    <s v="Carlos Martinez"/>
    <n v="12"/>
    <n v="10"/>
    <n v="68"/>
    <n v="89"/>
    <n v="125"/>
    <n v="4"/>
    <n v="21"/>
    <n v="0.83333333333333337"/>
    <s v="Completed"/>
  </r>
  <r>
    <s v="P018"/>
    <s v="Nora Anderson"/>
    <d v="2026-09-15T00:00:00"/>
    <x v="2"/>
    <x v="3"/>
    <s v="Online"/>
    <s v="S103"/>
    <s v="Priya Patel"/>
    <n v="8"/>
    <n v="8"/>
    <n v="48"/>
    <n v="57"/>
    <n v="100"/>
    <n v="3"/>
    <n v="9"/>
    <n v="1"/>
    <s v="Completed"/>
  </r>
  <r>
    <s v="P019"/>
    <s v="Samuel Anderson"/>
    <d v="2026-09-16T00:00:00"/>
    <x v="1"/>
    <x v="2"/>
    <s v="In Person"/>
    <s v="S102"/>
    <s v="Michael Brown"/>
    <n v="12"/>
    <n v="11"/>
    <n v="60"/>
    <n v="76"/>
    <n v="125"/>
    <n v="4"/>
    <n v="16"/>
    <n v="0.91666666666666663"/>
    <s v="Completed"/>
  </r>
  <r>
    <s v="P020"/>
    <s v="Layla Anderson"/>
    <d v="2026-09-16T00:00:00"/>
    <x v="0"/>
    <x v="1"/>
    <s v="Online"/>
    <s v="S101"/>
    <s v="Rachel Morgan"/>
    <n v="8"/>
    <n v="6"/>
    <n v="71"/>
    <n v="94"/>
    <n v="150"/>
    <n v="4"/>
    <n v="23"/>
    <n v="0.75"/>
    <s v="Needs Follow-Up"/>
  </r>
  <r>
    <s v="P021"/>
    <s v="Gabriel Anderson"/>
    <d v="2026-09-17T00:00:00"/>
    <x v="0"/>
    <x v="0"/>
    <s v="Hybrid"/>
    <s v="S106"/>
    <s v="Ahmed Hassan"/>
    <n v="10"/>
    <n v="7"/>
    <n v="51"/>
    <n v="62"/>
    <n v="150"/>
    <n v="2"/>
    <n v="11"/>
    <n v="0.7"/>
    <s v="Needs Follow-Up"/>
  </r>
  <r>
    <s v="P022"/>
    <s v="Chloe Anderson"/>
    <d v="2026-09-17T00:00:00"/>
    <x v="2"/>
    <x v="0"/>
    <s v="In Person"/>
    <s v="S105"/>
    <s v="Jennifer Lee"/>
    <n v="12"/>
    <n v="12"/>
    <n v="63"/>
    <n v="81"/>
    <n v="100"/>
    <n v="4"/>
    <n v="18"/>
    <n v="1"/>
    <s v="Completed"/>
  </r>
  <r>
    <s v="P023"/>
    <s v="Owen Anderson"/>
    <d v="2026-09-18T00:00:00"/>
    <x v="1"/>
    <x v="3"/>
    <s v="Hybrid"/>
    <s v="S104"/>
    <s v="Carlos Martinez"/>
    <n v="8"/>
    <n v="7"/>
    <n v="74"/>
    <n v="81"/>
    <n v="125"/>
    <n v="3"/>
    <n v="7"/>
    <n v="0.875"/>
    <s v="Completed"/>
  </r>
  <r>
    <s v="P024"/>
    <s v="Aria Anderson"/>
    <d v="2026-09-18T00:00:00"/>
    <x v="0"/>
    <x v="2"/>
    <s v="In Person"/>
    <s v="S103"/>
    <s v="Priya Patel"/>
    <n v="10"/>
    <n v="8"/>
    <n v="54"/>
    <n v="68"/>
    <n v="150"/>
    <n v="4"/>
    <n v="14"/>
    <n v="0.8"/>
    <s v="Completed"/>
  </r>
  <r>
    <s v="P025"/>
    <s v="Caleb Anderson"/>
    <d v="2026-09-19T00:00:00"/>
    <x v="2"/>
    <x v="1"/>
    <s v="Online"/>
    <s v="S103"/>
    <s v="Priya Patel"/>
    <n v="8"/>
    <n v="5"/>
    <n v="66"/>
    <n v="87"/>
    <n v="100"/>
    <n v="4"/>
    <n v="21"/>
    <n v="0.625"/>
    <s v="Needs Follow-Up"/>
  </r>
  <r>
    <s v="P026"/>
    <s v="Elena Anderson"/>
    <d v="2026-09-19T00:00:00"/>
    <x v="1"/>
    <x v="0"/>
    <s v="Hybrid"/>
    <s v="S102"/>
    <s v="Michael Brown"/>
    <n v="10"/>
    <n v="10"/>
    <n v="77"/>
    <n v="86"/>
    <n v="125"/>
    <n v="3"/>
    <n v="9"/>
    <n v="1"/>
    <s v="Completed"/>
  </r>
  <r>
    <s v="P027"/>
    <s v="Noah Bennett"/>
    <d v="2026-09-20T00:00:00"/>
    <x v="0"/>
    <x v="0"/>
    <s v="Online"/>
    <s v="S101"/>
    <s v="Rachel Morgan"/>
    <n v="12"/>
    <n v="11"/>
    <n v="57"/>
    <n v="73"/>
    <n v="150"/>
    <n v="4"/>
    <n v="16"/>
    <n v="0.91666666666666663"/>
    <s v="Completed"/>
  </r>
  <r>
    <s v="P028"/>
    <s v="Olivia Bennett"/>
    <d v="2026-09-20T00:00:00"/>
    <x v="0"/>
    <x v="3"/>
    <s v="Hybrid"/>
    <s v="S106"/>
    <s v="Ahmed Hassan"/>
    <n v="8"/>
    <n v="6"/>
    <n v="69"/>
    <n v="92"/>
    <n v="150"/>
    <n v="3"/>
    <n v="23"/>
    <n v="0.75"/>
    <s v="Needs Follow-Up"/>
  </r>
  <r>
    <s v="P029"/>
    <s v="Ethan Bennett"/>
    <d v="2026-09-21T00:00:00"/>
    <x v="2"/>
    <x v="2"/>
    <s v="In Person"/>
    <s v="S105"/>
    <s v="Jennifer Lee"/>
    <n v="10"/>
    <n v="10"/>
    <n v="49"/>
    <n v="60"/>
    <n v="100"/>
    <n v="3"/>
    <n v="11"/>
    <n v="1"/>
    <s v="Completed"/>
  </r>
  <r>
    <s v="P030"/>
    <s v="Sophia Bennett"/>
    <d v="2026-09-21T00:00:00"/>
    <x v="1"/>
    <x v="1"/>
    <s v="Online"/>
    <s v="S104"/>
    <s v="Carlos Martinez"/>
    <n v="12"/>
    <n v="11"/>
    <n v="60"/>
    <n v="78"/>
    <n v="125"/>
    <n v="5"/>
    <n v="18"/>
    <n v="0.91666666666666663"/>
    <s v="Completed"/>
  </r>
  <r>
    <s v="P031"/>
    <s v="Liam Bennett"/>
    <d v="2026-09-22T00:00:00"/>
    <x v="0"/>
    <x v="0"/>
    <s v="In Person"/>
    <s v="S103"/>
    <s v="Priya Patel"/>
    <n v="10"/>
    <n v="8"/>
    <n v="72"/>
    <n v="79"/>
    <n v="150"/>
    <n v="3"/>
    <n v="7"/>
    <n v="0.8"/>
    <s v="Completed"/>
  </r>
  <r>
    <s v="P032"/>
    <s v="Maya Bennett"/>
    <d v="2026-09-22T00:00:00"/>
    <x v="2"/>
    <x v="0"/>
    <s v="Online"/>
    <s v="S102"/>
    <s v="Michael Brown"/>
    <n v="12"/>
    <n v="9"/>
    <n v="52"/>
    <n v="66"/>
    <n v="100"/>
    <n v="3"/>
    <n v="14"/>
    <n v="0.75"/>
    <s v="Needs Follow-Up"/>
  </r>
  <r>
    <s v="P033"/>
    <s v="Lucas Bennett"/>
    <d v="2026-09-23T00:00:00"/>
    <x v="1"/>
    <x v="3"/>
    <s v="Hybrid"/>
    <s v="S101"/>
    <s v="Rachel Morgan"/>
    <n v="8"/>
    <n v="8"/>
    <n v="63"/>
    <n v="84"/>
    <n v="125"/>
    <n v="4"/>
    <n v="21"/>
    <n v="1"/>
    <s v="Completed"/>
  </r>
  <r>
    <s v="P034"/>
    <s v="Isabella Bennett"/>
    <d v="2026-09-23T00:00:00"/>
    <x v="0"/>
    <x v="2"/>
    <s v="In Person"/>
    <s v="S101"/>
    <s v="Rachel Morgan"/>
    <n v="10"/>
    <n v="9"/>
    <n v="75"/>
    <n v="84"/>
    <n v="125"/>
    <n v="3"/>
    <n v="9"/>
    <n v="0.9"/>
    <s v="Completed"/>
  </r>
  <r>
    <s v="P035"/>
    <s v="Mason Bennett"/>
    <d v="2026-09-24T00:00:00"/>
    <x v="0"/>
    <x v="1"/>
    <s v="Hybrid"/>
    <s v="S106"/>
    <s v="Ahmed Hassan"/>
    <n v="12"/>
    <n v="10"/>
    <n v="55"/>
    <n v="71"/>
    <n v="150"/>
    <n v="5"/>
    <n v="16"/>
    <n v="0.83333333333333337"/>
    <s v="Completed"/>
  </r>
  <r>
    <s v="P036"/>
    <s v="Zoe Bennett"/>
    <d v="2026-09-24T00:00:00"/>
    <x v="2"/>
    <x v="0"/>
    <s v="In Person"/>
    <s v="S105"/>
    <s v="Jennifer Lee"/>
    <n v="8"/>
    <n v="5"/>
    <n v="66"/>
    <n v="89"/>
    <n v="100"/>
    <n v="3"/>
    <n v="23"/>
    <n v="0.625"/>
    <s v="Needs Follow-Up"/>
  </r>
  <r>
    <s v="P037"/>
    <s v="Henry Bennett"/>
    <d v="2026-09-25T00:00:00"/>
    <x v="1"/>
    <x v="0"/>
    <s v="Online"/>
    <s v="S104"/>
    <s v="Carlos Martinez"/>
    <n v="12"/>
    <n v="12"/>
    <n v="78"/>
    <n v="89"/>
    <n v="125"/>
    <n v="3"/>
    <n v="11"/>
    <n v="1"/>
    <s v="Completed"/>
  </r>
  <r>
    <s v="P038"/>
    <s v="Nora Bennett"/>
    <d v="2026-09-25T00:00:00"/>
    <x v="0"/>
    <x v="3"/>
    <s v="Hybrid"/>
    <s v="S103"/>
    <s v="Priya Patel"/>
    <n v="8"/>
    <n v="7"/>
    <n v="58"/>
    <n v="76"/>
    <n v="150"/>
    <n v="4"/>
    <n v="18"/>
    <n v="0.875"/>
    <s v="Completed"/>
  </r>
  <r>
    <s v="P039"/>
    <s v="Samuel Bennett"/>
    <d v="2026-09-26T00:00:00"/>
    <x v="2"/>
    <x v="2"/>
    <s v="Online"/>
    <s v="S102"/>
    <s v="Michael Brown"/>
    <n v="10"/>
    <n v="8"/>
    <n v="69"/>
    <n v="76"/>
    <n v="100"/>
    <n v="3"/>
    <n v="7"/>
    <n v="0.8"/>
    <s v="Completed"/>
  </r>
  <r>
    <s v="P040"/>
    <s v="Layla Bennett"/>
    <d v="2026-09-26T00:00:00"/>
    <x v="1"/>
    <x v="1"/>
    <s v="Hybrid"/>
    <s v="S101"/>
    <s v="Rachel Morgan"/>
    <n v="12"/>
    <n v="12"/>
    <n v="50"/>
    <n v="64"/>
    <n v="125"/>
    <n v="5"/>
    <n v="14"/>
    <n v="1"/>
    <s v="Completed"/>
  </r>
  <r>
    <s v="P041"/>
    <s v="Gabriel Bennett"/>
    <d v="2026-09-27T00:00:00"/>
    <x v="0"/>
    <x v="0"/>
    <s v="In Person"/>
    <s v="S106"/>
    <s v="Ahmed Hassan"/>
    <n v="8"/>
    <n v="7"/>
    <n v="61"/>
    <n v="82"/>
    <n v="150"/>
    <n v="4"/>
    <n v="21"/>
    <n v="0.875"/>
    <s v="Completed"/>
  </r>
  <r>
    <s v="P042"/>
    <s v="Chloe Bennett"/>
    <d v="2026-09-27T00:00:00"/>
    <x v="0"/>
    <x v="0"/>
    <s v="Online"/>
    <s v="S105"/>
    <s v="Jennifer Lee"/>
    <n v="10"/>
    <n v="8"/>
    <n v="72"/>
    <n v="81"/>
    <n v="150"/>
    <n v="3"/>
    <n v="9"/>
    <n v="0.8"/>
    <s v="Completed"/>
  </r>
  <r>
    <s v="P043"/>
    <s v="Owen Bennett"/>
    <d v="2026-09-28T00:00:00"/>
    <x v="2"/>
    <x v="3"/>
    <s v="In Person"/>
    <s v="S105"/>
    <s v="Jennifer Lee"/>
    <n v="8"/>
    <n v="5"/>
    <n v="53"/>
    <n v="69"/>
    <n v="100"/>
    <n v="3"/>
    <n v="16"/>
    <n v="0.625"/>
    <s v="Needs Follow-Up"/>
  </r>
  <r>
    <s v="P044"/>
    <s v="Aria Bennett"/>
    <d v="2026-09-28T00:00:00"/>
    <x v="1"/>
    <x v="2"/>
    <s v="Online"/>
    <s v="S104"/>
    <s v="Carlos Martinez"/>
    <n v="10"/>
    <n v="10"/>
    <n v="64"/>
    <n v="87"/>
    <n v="125"/>
    <n v="4"/>
    <n v="23"/>
    <n v="1"/>
    <s v="Completed"/>
  </r>
  <r>
    <s v="P045"/>
    <s v="Caleb Bennett"/>
    <d v="2026-09-29T00:00:00"/>
    <x v="0"/>
    <x v="1"/>
    <s v="Hybrid"/>
    <s v="S103"/>
    <s v="Priya Patel"/>
    <n v="12"/>
    <n v="11"/>
    <n v="75"/>
    <n v="86"/>
    <n v="150"/>
    <n v="4"/>
    <n v="11"/>
    <n v="0.91666666666666663"/>
    <s v="Completed"/>
  </r>
  <r>
    <s v="P046"/>
    <s v="Elena Bennett"/>
    <d v="2026-09-29T00:00:00"/>
    <x v="2"/>
    <x v="0"/>
    <s v="In Person"/>
    <s v="S102"/>
    <s v="Michael Brown"/>
    <n v="8"/>
    <n v="6"/>
    <n v="56"/>
    <n v="74"/>
    <n v="100"/>
    <n v="3"/>
    <n v="18"/>
    <n v="0.75"/>
    <s v="Needs Follow-Up"/>
  </r>
  <r>
    <s v="P047"/>
    <s v="Noah Clark"/>
    <d v="2026-09-30T00:00:00"/>
    <x v="1"/>
    <x v="0"/>
    <s v="Hybrid"/>
    <s v="S101"/>
    <s v="Rachel Morgan"/>
    <n v="10"/>
    <n v="7"/>
    <n v="67"/>
    <n v="74"/>
    <n v="125"/>
    <n v="2"/>
    <n v="7"/>
    <n v="0.7"/>
    <s v="Needs Follow-Up"/>
  </r>
  <r>
    <s v="P048"/>
    <s v="Olivia Clark"/>
    <d v="2026-09-30T00:00:00"/>
    <x v="0"/>
    <x v="3"/>
    <s v="In Person"/>
    <s v="S106"/>
    <s v="Ahmed Hassan"/>
    <n v="12"/>
    <n v="12"/>
    <n v="78"/>
    <n v="92"/>
    <n v="150"/>
    <n v="4"/>
    <n v="14"/>
    <n v="1"/>
    <s v="Completed"/>
  </r>
  <r>
    <s v="P049"/>
    <s v="Ethan Clark"/>
    <d v="2026-10-01T00:00:00"/>
    <x v="0"/>
    <x v="2"/>
    <s v="Online"/>
    <s v="S105"/>
    <s v="Jennifer Lee"/>
    <n v="10"/>
    <n v="9"/>
    <n v="59"/>
    <n v="80"/>
    <n v="150"/>
    <n v="4"/>
    <n v="21"/>
    <n v="0.9"/>
    <s v="Completed"/>
  </r>
  <r>
    <s v="P050"/>
    <s v="Sophia Clark"/>
    <d v="2026-10-01T00:00:00"/>
    <x v="2"/>
    <x v="1"/>
    <s v="Hybrid"/>
    <s v="S104"/>
    <s v="Carlos Martinez"/>
    <n v="12"/>
    <n v="10"/>
    <n v="70"/>
    <n v="79"/>
    <n v="100"/>
    <n v="4"/>
    <n v="9"/>
    <n v="0.83333333333333337"/>
    <s v="Completed"/>
  </r>
  <r>
    <s v="P051"/>
    <s v="Liam Clark"/>
    <d v="2026-10-02T00:00:00"/>
    <x v="1"/>
    <x v="0"/>
    <s v="Online"/>
    <s v="S103"/>
    <s v="Priya Patel"/>
    <n v="8"/>
    <n v="8"/>
    <n v="50"/>
    <n v="66"/>
    <n v="100"/>
    <n v="4"/>
    <n v="16"/>
    <n v="1"/>
    <s v="Completed"/>
  </r>
  <r>
    <s v="P052"/>
    <s v="Maya Clark"/>
    <d v="2026-10-02T00:00:00"/>
    <x v="0"/>
    <x v="0"/>
    <s v="Hybrid"/>
    <s v="S103"/>
    <s v="Priya Patel"/>
    <n v="10"/>
    <n v="9"/>
    <n v="62"/>
    <n v="85"/>
    <n v="150"/>
    <n v="4"/>
    <n v="23"/>
    <n v="0.9"/>
    <s v="Completed"/>
  </r>
  <r>
    <s v="P053"/>
    <s v="Lucas Clark"/>
    <d v="2026-10-03T00:00:00"/>
    <x v="2"/>
    <x v="3"/>
    <s v="In Person"/>
    <s v="S102"/>
    <s v="Michael Brown"/>
    <n v="12"/>
    <n v="10"/>
    <n v="73"/>
    <n v="84"/>
    <n v="100"/>
    <n v="3"/>
    <n v="11"/>
    <n v="0.83333333333333337"/>
    <s v="Completed"/>
  </r>
  <r>
    <s v="P054"/>
    <s v="Isabella Clark"/>
    <d v="2026-10-03T00:00:00"/>
    <x v="1"/>
    <x v="2"/>
    <s v="Online"/>
    <s v="S101"/>
    <s v="Rachel Morgan"/>
    <n v="8"/>
    <n v="5"/>
    <n v="53"/>
    <n v="71"/>
    <n v="125"/>
    <n v="3"/>
    <n v="18"/>
    <n v="0.625"/>
    <s v="Needs Follow-Up"/>
  </r>
  <r>
    <s v="P055"/>
    <s v="Mason Clark"/>
    <d v="2026-10-04T00:00:00"/>
    <x v="0"/>
    <x v="1"/>
    <s v="In Person"/>
    <s v="S106"/>
    <s v="Ahmed Hassan"/>
    <n v="12"/>
    <n v="12"/>
    <n v="65"/>
    <n v="72"/>
    <n v="150"/>
    <n v="4"/>
    <n v="7"/>
    <n v="1"/>
    <s v="Completed"/>
  </r>
  <r>
    <s v="P056"/>
    <s v="Zoe Clark"/>
    <d v="2026-10-04T00:00:00"/>
    <x v="0"/>
    <x v="0"/>
    <s v="Online"/>
    <s v="S105"/>
    <s v="Jennifer Lee"/>
    <n v="8"/>
    <n v="7"/>
    <n v="76"/>
    <n v="90"/>
    <n v="150"/>
    <n v="4"/>
    <n v="14"/>
    <n v="0.875"/>
    <s v="Completed"/>
  </r>
  <r>
    <s v="P057"/>
    <s v="Henry Clark"/>
    <d v="2026-10-05T00:00:00"/>
    <x v="2"/>
    <x v="0"/>
    <s v="Hybrid"/>
    <s v="S104"/>
    <s v="Carlos Martinez"/>
    <n v="10"/>
    <n v="8"/>
    <n v="56"/>
    <n v="77"/>
    <n v="100"/>
    <n v="4"/>
    <n v="21"/>
    <n v="0.8"/>
    <s v="Completed"/>
  </r>
  <r>
    <s v="P058"/>
    <s v="Nora Clark"/>
    <d v="2026-10-05T00:00:00"/>
    <x v="1"/>
    <x v="3"/>
    <s v="In Person"/>
    <s v="S103"/>
    <s v="Priya Patel"/>
    <n v="12"/>
    <n v="9"/>
    <n v="68"/>
    <n v="77"/>
    <n v="125"/>
    <n v="2"/>
    <n v="9"/>
    <n v="0.75"/>
    <s v="Needs Follow-Up"/>
  </r>
  <r>
    <s v="P059"/>
    <s v="Samuel Clark"/>
    <d v="2026-10-06T00:00:00"/>
    <x v="0"/>
    <x v="2"/>
    <s v="Hybrid"/>
    <s v="S102"/>
    <s v="Michael Brown"/>
    <n v="8"/>
    <n v="8"/>
    <n v="48"/>
    <n v="64"/>
    <n v="150"/>
    <n v="4"/>
    <n v="16"/>
    <n v="1"/>
    <s v="Completed"/>
  </r>
  <r>
    <s v="P060"/>
    <s v="Layla Clark"/>
    <d v="2026-10-06T00:00:00"/>
    <x v="2"/>
    <x v="1"/>
    <s v="In Person"/>
    <s v="S101"/>
    <s v="Rachel Morgan"/>
    <n v="10"/>
    <n v="9"/>
    <n v="59"/>
    <n v="82"/>
    <n v="100"/>
    <n v="5"/>
    <n v="23"/>
    <n v="0.9"/>
    <s v="Completed"/>
  </r>
  <r>
    <s v="P061"/>
    <s v="Gabriel Clark"/>
    <d v="2026-10-07T00:00:00"/>
    <x v="1"/>
    <x v="0"/>
    <s v="Online"/>
    <s v="S101"/>
    <s v="Rachel Morgan"/>
    <n v="8"/>
    <n v="6"/>
    <n v="71"/>
    <n v="82"/>
    <n v="125"/>
    <n v="2"/>
    <n v="11"/>
    <n v="0.75"/>
    <s v="Needs Follow-Up"/>
  </r>
  <r>
    <s v="P062"/>
    <s v="Chloe Clark"/>
    <d v="2026-10-07T00:00:00"/>
    <x v="0"/>
    <x v="0"/>
    <s v="Hybrid"/>
    <s v="S106"/>
    <s v="Ahmed Hassan"/>
    <n v="10"/>
    <n v="10"/>
    <n v="51"/>
    <n v="69"/>
    <n v="150"/>
    <n v="4"/>
    <n v="18"/>
    <n v="1"/>
    <s v="Completed"/>
  </r>
  <r>
    <s v="P063"/>
    <s v="Owen Clark"/>
    <d v="2026-10-08T00:00:00"/>
    <x v="0"/>
    <x v="3"/>
    <s v="Online"/>
    <s v="S105"/>
    <s v="Jennifer Lee"/>
    <n v="12"/>
    <n v="11"/>
    <n v="62"/>
    <n v="69"/>
    <n v="150"/>
    <n v="3"/>
    <n v="7"/>
    <n v="0.91666666666666663"/>
    <s v="Completed"/>
  </r>
  <r>
    <s v="P064"/>
    <s v="Aria Clark"/>
    <d v="2026-10-08T00:00:00"/>
    <x v="2"/>
    <x v="2"/>
    <s v="Hybrid"/>
    <s v="S104"/>
    <s v="Carlos Martinez"/>
    <n v="8"/>
    <n v="6"/>
    <n v="74"/>
    <n v="88"/>
    <n v="100"/>
    <n v="3"/>
    <n v="14"/>
    <n v="0.75"/>
    <s v="Needs Follow-Up"/>
  </r>
  <r>
    <s v="P065"/>
    <s v="Caleb Clark"/>
    <d v="2026-10-09T00:00:00"/>
    <x v="1"/>
    <x v="1"/>
    <s v="In Person"/>
    <s v="S103"/>
    <s v="Priya Patel"/>
    <n v="10"/>
    <n v="7"/>
    <n v="54"/>
    <n v="75"/>
    <n v="125"/>
    <n v="4"/>
    <n v="21"/>
    <n v="0.7"/>
    <s v="Needs Follow-Up"/>
  </r>
  <r>
    <s v="P066"/>
    <s v="Elena Clark"/>
    <d v="2026-10-09T00:00:00"/>
    <x v="0"/>
    <x v="0"/>
    <s v="Online"/>
    <s v="S102"/>
    <s v="Michael Brown"/>
    <n v="12"/>
    <n v="12"/>
    <n v="65"/>
    <n v="74"/>
    <n v="150"/>
    <n v="3"/>
    <n v="9"/>
    <n v="1"/>
    <s v="Completed"/>
  </r>
  <r>
    <s v="P067"/>
    <s v="Noah Davis"/>
    <d v="2026-10-10T00:00:00"/>
    <x v="2"/>
    <x v="0"/>
    <s v="In Person"/>
    <s v="S101"/>
    <s v="Rachel Morgan"/>
    <n v="10"/>
    <n v="9"/>
    <n v="77"/>
    <n v="93"/>
    <n v="100"/>
    <n v="4"/>
    <n v="16"/>
    <n v="0.9"/>
    <s v="Completed"/>
  </r>
  <r>
    <s v="P068"/>
    <s v="Olivia Davis"/>
    <d v="2026-10-10T00:00:00"/>
    <x v="1"/>
    <x v="3"/>
    <s v="Online"/>
    <s v="S106"/>
    <s v="Ahmed Hassan"/>
    <n v="12"/>
    <n v="10"/>
    <n v="57"/>
    <n v="80"/>
    <n v="100"/>
    <n v="4"/>
    <n v="23"/>
    <n v="0.83333333333333337"/>
    <s v="Completed"/>
  </r>
  <r>
    <s v="P069"/>
    <s v="Ethan Davis"/>
    <d v="2026-10-11T00:00:00"/>
    <x v="0"/>
    <x v="2"/>
    <s v="Hybrid"/>
    <s v="S105"/>
    <s v="Jennifer Lee"/>
    <n v="8"/>
    <n v="5"/>
    <n v="68"/>
    <n v="79"/>
    <n v="150"/>
    <n v="2"/>
    <n v="11"/>
    <n v="0.625"/>
    <s v="Needs Follow-Up"/>
  </r>
  <r>
    <s v="P070"/>
    <s v="Sophia Davis"/>
    <d v="2026-10-11T00:00:00"/>
    <x v="0"/>
    <x v="1"/>
    <s v="In Person"/>
    <s v="S105"/>
    <s v="Jennifer Lee"/>
    <n v="10"/>
    <n v="10"/>
    <n v="49"/>
    <n v="67"/>
    <n v="150"/>
    <n v="5"/>
    <n v="18"/>
    <n v="1"/>
    <s v="Completed"/>
  </r>
  <r>
    <s v="P071"/>
    <s v="Liam Davis"/>
    <d v="2026-10-12T00:00:00"/>
    <x v="2"/>
    <x v="0"/>
    <s v="Hybrid"/>
    <s v="S104"/>
    <s v="Carlos Martinez"/>
    <n v="12"/>
    <n v="11"/>
    <n v="60"/>
    <n v="67"/>
    <n v="100"/>
    <n v="3"/>
    <n v="7"/>
    <n v="0.91666666666666663"/>
    <s v="Completed"/>
  </r>
  <r>
    <s v="P072"/>
    <s v="Maya Davis"/>
    <d v="2026-10-12T00:00:00"/>
    <x v="1"/>
    <x v="0"/>
    <s v="In Person"/>
    <s v="S103"/>
    <s v="Priya Patel"/>
    <n v="8"/>
    <n v="6"/>
    <n v="71"/>
    <n v="85"/>
    <n v="125"/>
    <n v="3"/>
    <n v="14"/>
    <n v="0.75"/>
    <s v="Needs Follow-Up"/>
  </r>
  <r>
    <s v="P073"/>
    <s v="Lucas Davis"/>
    <d v="2026-10-13T00:00:00"/>
    <x v="0"/>
    <x v="3"/>
    <s v="Online"/>
    <s v="S102"/>
    <s v="Michael Brown"/>
    <n v="12"/>
    <n v="12"/>
    <n v="52"/>
    <n v="73"/>
    <n v="150"/>
    <n v="4"/>
    <n v="21"/>
    <n v="1"/>
    <s v="Completed"/>
  </r>
  <r>
    <s v="P074"/>
    <s v="Isabella Davis"/>
    <d v="2026-10-13T00:00:00"/>
    <x v="2"/>
    <x v="2"/>
    <s v="Hybrid"/>
    <s v="S101"/>
    <s v="Rachel Morgan"/>
    <n v="8"/>
    <n v="7"/>
    <n v="63"/>
    <n v="72"/>
    <n v="100"/>
    <n v="3"/>
    <n v="9"/>
    <n v="0.875"/>
    <s v="Completed"/>
  </r>
  <r>
    <s v="P075"/>
    <s v="Mason Davis"/>
    <d v="2026-10-14T00:00:00"/>
    <x v="1"/>
    <x v="1"/>
    <s v="Online"/>
    <s v="S106"/>
    <s v="Ahmed Hassan"/>
    <n v="10"/>
    <n v="8"/>
    <n v="74"/>
    <n v="90"/>
    <n v="125"/>
    <n v="5"/>
    <n v="16"/>
    <n v="0.8"/>
    <s v="Completed"/>
  </r>
  <r>
    <s v="P076"/>
    <s v="Zoe Davis"/>
    <d v="2026-10-14T00:00:00"/>
    <x v="0"/>
    <x v="0"/>
    <s v="Hybrid"/>
    <s v="S105"/>
    <s v="Jennifer Lee"/>
    <n v="12"/>
    <n v="9"/>
    <n v="55"/>
    <n v="78"/>
    <n v="150"/>
    <n v="3"/>
    <n v="23"/>
    <n v="0.75"/>
    <s v="Needs Follow-Up"/>
  </r>
  <r>
    <s v="P077"/>
    <s v="Henry Davis"/>
    <d v="2026-10-15T00:00:00"/>
    <x v="0"/>
    <x v="0"/>
    <s v="In Person"/>
    <s v="S104"/>
    <s v="Carlos Martinez"/>
    <n v="8"/>
    <n v="8"/>
    <n v="66"/>
    <n v="77"/>
    <n v="150"/>
    <n v="3"/>
    <n v="11"/>
    <n v="1"/>
    <s v="Completed"/>
  </r>
  <r>
    <s v="P078"/>
    <s v="Nora Davis"/>
    <d v="2026-10-15T00:00:00"/>
    <x v="2"/>
    <x v="3"/>
    <s v="Online"/>
    <s v="S103"/>
    <s v="Priya Patel"/>
    <n v="10"/>
    <n v="9"/>
    <n v="77"/>
    <n v="95"/>
    <n v="100"/>
    <n v="4"/>
    <n v="18"/>
    <n v="0.9"/>
    <s v="Completed"/>
  </r>
  <r>
    <s v="P079"/>
    <s v="Samuel Davis"/>
    <d v="2026-10-16T00:00:00"/>
    <x v="1"/>
    <x v="2"/>
    <s v="In Person"/>
    <s v="S103"/>
    <s v="Priya Patel"/>
    <n v="8"/>
    <n v="6"/>
    <n v="58"/>
    <n v="65"/>
    <n v="125"/>
    <n v="2"/>
    <n v="7"/>
    <n v="0.75"/>
    <s v="Needs Follow-Up"/>
  </r>
  <r>
    <s v="P080"/>
    <s v="Layla Davis"/>
    <d v="2026-10-16T00:00:00"/>
    <x v="0"/>
    <x v="1"/>
    <s v="Online"/>
    <s v="S102"/>
    <s v="Michael Brown"/>
    <n v="10"/>
    <n v="7"/>
    <n v="69"/>
    <n v="83"/>
    <n v="150"/>
    <n v="4"/>
    <n v="14"/>
    <n v="0.7"/>
    <s v="Needs Follow-Up"/>
  </r>
  <r>
    <s v="P081"/>
    <s v="Gabriel Davis"/>
    <d v="2026-10-17T00:00:00"/>
    <x v="2"/>
    <x v="0"/>
    <s v="Hybrid"/>
    <s v="S101"/>
    <s v="Rachel Morgan"/>
    <n v="12"/>
    <n v="12"/>
    <n v="49"/>
    <n v="70"/>
    <n v="100"/>
    <n v="4"/>
    <n v="21"/>
    <n v="1"/>
    <s v="Completed"/>
  </r>
  <r>
    <s v="P082"/>
    <s v="Chloe Davis"/>
    <d v="2026-10-17T00:00:00"/>
    <x v="1"/>
    <x v="0"/>
    <s v="In Person"/>
    <s v="S106"/>
    <s v="Ahmed Hassan"/>
    <n v="8"/>
    <n v="7"/>
    <n v="61"/>
    <n v="70"/>
    <n v="125"/>
    <n v="3"/>
    <n v="9"/>
    <n v="0.875"/>
    <s v="Completed"/>
  </r>
  <r>
    <s v="P083"/>
    <s v="Owen Davis"/>
    <d v="2026-10-18T00:00:00"/>
    <x v="0"/>
    <x v="3"/>
    <s v="Hybrid"/>
    <s v="S105"/>
    <s v="Jennifer Lee"/>
    <n v="10"/>
    <n v="8"/>
    <n v="72"/>
    <n v="88"/>
    <n v="150"/>
    <n v="4"/>
    <n v="16"/>
    <n v="0.8"/>
    <s v="Completed"/>
  </r>
  <r>
    <s v="P084"/>
    <s v="Aria Davis"/>
    <d v="2026-10-18T00:00:00"/>
    <x v="0"/>
    <x v="2"/>
    <s v="In Person"/>
    <s v="S104"/>
    <s v="Carlos Martinez"/>
    <n v="12"/>
    <n v="12"/>
    <n v="52"/>
    <n v="75"/>
    <n v="150"/>
    <n v="4"/>
    <n v="23"/>
    <n v="1"/>
    <s v="Completed"/>
  </r>
  <r>
    <s v="P085"/>
    <s v="Caleb Davis"/>
    <d v="2026-10-19T00:00:00"/>
    <x v="2"/>
    <x v="1"/>
    <s v="Online"/>
    <s v="S103"/>
    <s v="Priya Patel"/>
    <n v="10"/>
    <n v="9"/>
    <n v="64"/>
    <n v="75"/>
    <n v="75"/>
    <n v="4"/>
    <n v="11"/>
    <n v="0.9"/>
    <s v="Completed"/>
  </r>
  <r>
    <s v="P086"/>
    <s v="Elena Davis"/>
    <d v="2026-10-19T00:00:00"/>
    <x v="1"/>
    <x v="0"/>
    <s v="Hybrid"/>
    <s v="S102"/>
    <s v="Michael Brown"/>
    <n v="12"/>
    <n v="10"/>
    <n v="75"/>
    <n v="93"/>
    <n v="125"/>
    <n v="4"/>
    <n v="18"/>
    <n v="0.83333333333333337"/>
    <s v="Completed"/>
  </r>
  <r>
    <s v="P087"/>
    <s v="Noah Evans"/>
    <d v="2026-10-20T00:00:00"/>
    <x v="0"/>
    <x v="0"/>
    <s v="Online"/>
    <s v="S101"/>
    <s v="Rachel Morgan"/>
    <n v="8"/>
    <n v="5"/>
    <n v="55"/>
    <n v="62"/>
    <n v="150"/>
    <n v="2"/>
    <n v="7"/>
    <n v="0.625"/>
    <s v="Needs Follow-Up"/>
  </r>
  <r>
    <s v="P088"/>
    <s v="Olivia Evans"/>
    <d v="2026-10-20T00:00:00"/>
    <x v="2"/>
    <x v="3"/>
    <s v="Hybrid"/>
    <s v="S101"/>
    <s v="Rachel Morgan"/>
    <n v="10"/>
    <n v="10"/>
    <n v="67"/>
    <n v="81"/>
    <n v="100"/>
    <n v="4"/>
    <n v="14"/>
    <n v="1"/>
    <s v="Completed"/>
  </r>
  <r>
    <s v="P089"/>
    <s v="Ethan Evans"/>
    <d v="2026-10-21T00:00:00"/>
    <x v="1"/>
    <x v="2"/>
    <s v="In Person"/>
    <s v="S106"/>
    <s v="Ahmed Hassan"/>
    <n v="12"/>
    <n v="11"/>
    <n v="78"/>
    <n v="98"/>
    <n v="125"/>
    <n v="4"/>
    <n v="20"/>
    <n v="0.91666666666666663"/>
    <s v="Completed"/>
  </r>
  <r>
    <s v="P090"/>
    <s v="Sophia Evans"/>
    <d v="2026-10-21T00:00:00"/>
    <x v="0"/>
    <x v="1"/>
    <s v="Online"/>
    <s v="S105"/>
    <s v="Jennifer Lee"/>
    <n v="8"/>
    <n v="6"/>
    <n v="58"/>
    <n v="67"/>
    <n v="150"/>
    <n v="3"/>
    <n v="9"/>
    <n v="0.75"/>
    <s v="Needs Follow-Up"/>
  </r>
  <r>
    <s v="P091"/>
    <s v="Liam Evans"/>
    <d v="2026-10-22T00:00:00"/>
    <x v="0"/>
    <x v="0"/>
    <s v="In Person"/>
    <s v="S104"/>
    <s v="Carlos Martinez"/>
    <n v="12"/>
    <n v="9"/>
    <n v="70"/>
    <n v="86"/>
    <n v="150"/>
    <n v="3"/>
    <n v="16"/>
    <n v="0.75"/>
    <s v="Needs Follow-Up"/>
  </r>
  <r>
    <s v="P092"/>
    <s v="Maya Evans"/>
    <d v="2026-10-22T00:00:00"/>
    <x v="2"/>
    <x v="0"/>
    <s v="Online"/>
    <s v="S103"/>
    <s v="Priya Patel"/>
    <n v="8"/>
    <n v="8"/>
    <n v="50"/>
    <n v="73"/>
    <n v="100"/>
    <n v="4"/>
    <n v="23"/>
    <n v="1"/>
    <s v="Completed"/>
  </r>
  <r>
    <s v="P093"/>
    <s v="Lucas Evans"/>
    <d v="2026-10-23T00:00:00"/>
    <x v="1"/>
    <x v="3"/>
    <s v="Hybrid"/>
    <s v="S102"/>
    <s v="Michael Brown"/>
    <n v="10"/>
    <n v="9"/>
    <n v="61"/>
    <n v="72"/>
    <n v="125"/>
    <n v="3"/>
    <n v="11"/>
    <n v="0.9"/>
    <s v="Completed"/>
  </r>
  <r>
    <s v="P094"/>
    <s v="Isabella Evans"/>
    <d v="2026-10-23T00:00:00"/>
    <x v="0"/>
    <x v="2"/>
    <s v="In Person"/>
    <s v="S101"/>
    <s v="Rachel Morgan"/>
    <n v="12"/>
    <n v="10"/>
    <n v="73"/>
    <n v="91"/>
    <n v="150"/>
    <n v="4"/>
    <n v="18"/>
    <n v="0.83333333333333337"/>
    <s v="Completed"/>
  </r>
  <r>
    <s v="P095"/>
    <s v="Mason Evans"/>
    <d v="2026-10-24T00:00:00"/>
    <x v="2"/>
    <x v="1"/>
    <s v="Hybrid"/>
    <s v="S106"/>
    <s v="Ahmed Hassan"/>
    <n v="8"/>
    <n v="8"/>
    <n v="53"/>
    <n v="60"/>
    <n v="100"/>
    <n v="4"/>
    <n v="7"/>
    <n v="1"/>
    <s v="Completed"/>
  </r>
  <r>
    <s v="P096"/>
    <s v="Zoe Evans"/>
    <d v="2026-10-24T00:00:00"/>
    <x v="1"/>
    <x v="0"/>
    <s v="In Person"/>
    <s v="S105"/>
    <s v="Jennifer Lee"/>
    <n v="10"/>
    <n v="9"/>
    <n v="64"/>
    <n v="78"/>
    <n v="125"/>
    <n v="4"/>
    <n v="14"/>
    <n v="0.9"/>
    <s v="Completed"/>
  </r>
  <r>
    <s v="P097"/>
    <s v="Henry Evans"/>
    <d v="2026-10-25T00:00:00"/>
    <x v="0"/>
    <x v="0"/>
    <s v="Online"/>
    <s v="S105"/>
    <s v="Jennifer Lee"/>
    <n v="8"/>
    <n v="6"/>
    <n v="76"/>
    <n v="97"/>
    <n v="150"/>
    <n v="3"/>
    <n v="21"/>
    <n v="0.75"/>
    <s v="Needs Follow-Up"/>
  </r>
  <r>
    <s v="P098"/>
    <s v="Nora Evans"/>
    <d v="2026-10-25T00:00:00"/>
    <x v="0"/>
    <x v="3"/>
    <s v="Hybrid"/>
    <s v="S104"/>
    <s v="Carlos Martinez"/>
    <n v="10"/>
    <n v="7"/>
    <n v="56"/>
    <n v="65"/>
    <n v="150"/>
    <n v="2"/>
    <n v="9"/>
    <n v="0.7"/>
    <s v="Needs Follow-Up"/>
  </r>
  <r>
    <s v="P099"/>
    <s v="Samuel Evans"/>
    <d v="2026-10-26T00:00:00"/>
    <x v="2"/>
    <x v="2"/>
    <s v="Online"/>
    <s v="S103"/>
    <s v="Priya Patel"/>
    <n v="12"/>
    <n v="12"/>
    <n v="67"/>
    <n v="83"/>
    <n v="100"/>
    <n v="4"/>
    <n v="16"/>
    <n v="1"/>
    <s v="Completed"/>
  </r>
  <r>
    <s v="P100"/>
    <s v="Layla Evans"/>
    <d v="2026-10-26T00:00:00"/>
    <x v="1"/>
    <x v="1"/>
    <s v="Hybrid"/>
    <s v="S102"/>
    <s v="Michael Brown"/>
    <n v="8"/>
    <n v="7"/>
    <n v="48"/>
    <n v="71"/>
    <n v="125"/>
    <n v="5"/>
    <n v="23"/>
    <n v="0.875"/>
    <s v="Completed"/>
  </r>
  <r>
    <s v="P101"/>
    <s v="Gabriel Evans"/>
    <d v="2026-10-27T00:00:00"/>
    <x v="0"/>
    <x v="0"/>
    <s v="In Person"/>
    <s v="S101"/>
    <s v="Rachel Morgan"/>
    <n v="10"/>
    <n v="8"/>
    <n v="59"/>
    <n v="70"/>
    <n v="150"/>
    <n v="3"/>
    <n v="11"/>
    <n v="0.8"/>
    <s v="Completed"/>
  </r>
  <r>
    <s v="P102"/>
    <s v="Chloe Evans"/>
    <d v="2026-10-27T00:00:00"/>
    <x v="2"/>
    <x v="0"/>
    <s v="Online"/>
    <s v="S106"/>
    <s v="Ahmed Hassan"/>
    <n v="12"/>
    <n v="9"/>
    <n v="70"/>
    <n v="88"/>
    <n v="75"/>
    <n v="3"/>
    <n v="18"/>
    <n v="0.75"/>
    <s v="Needs Follow-Up"/>
  </r>
  <r>
    <s v="P103"/>
    <s v="Owen Evans"/>
    <d v="2026-10-28T00:00:00"/>
    <x v="1"/>
    <x v="3"/>
    <s v="In Person"/>
    <s v="S105"/>
    <s v="Jennifer Lee"/>
    <n v="10"/>
    <n v="10"/>
    <n v="51"/>
    <n v="58"/>
    <n v="125"/>
    <n v="3"/>
    <n v="7"/>
    <n v="1"/>
    <s v="Completed"/>
  </r>
  <r>
    <s v="P104"/>
    <s v="Aria Evans"/>
    <d v="2026-10-28T00:00:00"/>
    <x v="0"/>
    <x v="2"/>
    <s v="Online"/>
    <s v="S104"/>
    <s v="Carlos Martinez"/>
    <n v="12"/>
    <n v="11"/>
    <n v="62"/>
    <n v="76"/>
    <n v="150"/>
    <n v="4"/>
    <n v="14"/>
    <n v="0.91666666666666663"/>
    <s v="Completed"/>
  </r>
  <r>
    <s v="P105"/>
    <s v="Caleb Evans"/>
    <d v="2026-10-29T00:00:00"/>
    <x v="0"/>
    <x v="1"/>
    <s v="Hybrid"/>
    <s v="S103"/>
    <s v="Priya Patel"/>
    <n v="8"/>
    <n v="6"/>
    <n v="73"/>
    <n v="94"/>
    <n v="150"/>
    <n v="4"/>
    <n v="21"/>
    <n v="0.75"/>
    <s v="Needs Follow-Up"/>
  </r>
  <r>
    <s v="P106"/>
    <s v="Elena Evans"/>
    <d v="2026-10-29T00:00:00"/>
    <x v="2"/>
    <x v="0"/>
    <s v="In Person"/>
    <s v="S103"/>
    <s v="Priya Patel"/>
    <n v="10"/>
    <n v="10"/>
    <n v="54"/>
    <n v="63"/>
    <n v="100"/>
    <n v="3"/>
    <n v="9"/>
    <n v="1"/>
    <s v="Completed"/>
  </r>
  <r>
    <s v="P107"/>
    <s v="Noah Foster"/>
    <d v="2026-10-30T00:00:00"/>
    <x v="1"/>
    <x v="0"/>
    <s v="Hybrid"/>
    <s v="S102"/>
    <s v="Michael Brown"/>
    <n v="12"/>
    <n v="11"/>
    <n v="65"/>
    <n v="81"/>
    <n v="125"/>
    <n v="4"/>
    <n v="16"/>
    <n v="0.91666666666666663"/>
    <s v="Completed"/>
  </r>
  <r>
    <s v="P108"/>
    <s v="Olivia Foster"/>
    <d v="2026-10-30T00:00:00"/>
    <x v="0"/>
    <x v="3"/>
    <s v="In Person"/>
    <s v="S101"/>
    <s v="Rachel Morgan"/>
    <n v="8"/>
    <n v="6"/>
    <n v="76"/>
    <n v="98"/>
    <n v="150"/>
    <n v="3"/>
    <n v="22"/>
    <n v="0.75"/>
    <s v="Needs Follow-Up"/>
  </r>
  <r>
    <s v="P109"/>
    <s v="Ethan Foster"/>
    <d v="2026-10-31T00:00:00"/>
    <x v="2"/>
    <x v="2"/>
    <s v="Online"/>
    <s v="S106"/>
    <s v="Ahmed Hassan"/>
    <n v="12"/>
    <n v="9"/>
    <n v="57"/>
    <n v="68"/>
    <n v="100"/>
    <n v="2"/>
    <n v="11"/>
    <n v="0.75"/>
    <s v="Needs Follow-Up"/>
  </r>
  <r>
    <s v="P110"/>
    <s v="Sophia Foster"/>
    <d v="2026-10-31T00:00:00"/>
    <x v="1"/>
    <x v="1"/>
    <s v="Hybrid"/>
    <s v="S105"/>
    <s v="Jennifer Lee"/>
    <n v="8"/>
    <n v="8"/>
    <n v="68"/>
    <n v="86"/>
    <n v="125"/>
    <n v="5"/>
    <n v="18"/>
    <n v="1"/>
    <s v="Completed"/>
  </r>
  <r>
    <s v="P111"/>
    <s v="Liam Foster"/>
    <d v="2026-11-01T00:00:00"/>
    <x v="0"/>
    <x v="0"/>
    <s v="Online"/>
    <s v="S104"/>
    <s v="Carlos Martinez"/>
    <n v="10"/>
    <n v="9"/>
    <n v="48"/>
    <n v="55"/>
    <n v="150"/>
    <n v="3"/>
    <n v="7"/>
    <n v="0.9"/>
    <s v="Completed"/>
  </r>
  <r>
    <s v="P112"/>
    <s v="Maya Foster"/>
    <d v="2026-11-01T00:00:00"/>
    <x v="0"/>
    <x v="0"/>
    <s v="Hybrid"/>
    <s v="S103"/>
    <s v="Priya Patel"/>
    <n v="12"/>
    <n v="10"/>
    <n v="60"/>
    <n v="74"/>
    <n v="150"/>
    <n v="4"/>
    <n v="14"/>
    <n v="0.83333333333333337"/>
    <s v="Completed"/>
  </r>
  <r>
    <s v="P113"/>
    <s v="Lucas Foster"/>
    <d v="2026-11-02T00:00:00"/>
    <x v="2"/>
    <x v="3"/>
    <s v="In Person"/>
    <s v="S102"/>
    <s v="Michael Brown"/>
    <n v="8"/>
    <n v="5"/>
    <n v="71"/>
    <n v="92"/>
    <n v="100"/>
    <n v="3"/>
    <n v="21"/>
    <n v="0.625"/>
    <s v="Needs Follow-Up"/>
  </r>
  <r>
    <s v="P114"/>
    <s v="Isabella Foster"/>
    <d v="2026-11-02T00:00:00"/>
    <x v="1"/>
    <x v="2"/>
    <s v="Online"/>
    <s v="S101"/>
    <s v="Rachel Morgan"/>
    <n v="10"/>
    <n v="10"/>
    <n v="51"/>
    <n v="60"/>
    <n v="125"/>
    <n v="3"/>
    <n v="9"/>
    <n v="1"/>
    <s v="Completed"/>
  </r>
  <r>
    <s v="P115"/>
    <s v="Mason Foster"/>
    <d v="2026-11-03T00:00:00"/>
    <x v="0"/>
    <x v="1"/>
    <s v="In Person"/>
    <s v="S101"/>
    <s v="Rachel Morgan"/>
    <n v="8"/>
    <n v="7"/>
    <n v="63"/>
    <n v="79"/>
    <n v="150"/>
    <n v="5"/>
    <n v="16"/>
    <n v="0.875"/>
    <s v="Completed"/>
  </r>
  <r>
    <s v="P116"/>
    <s v="Zoe Foster"/>
    <d v="2026-11-03T00:00:00"/>
    <x v="2"/>
    <x v="0"/>
    <s v="Online"/>
    <s v="S106"/>
    <s v="Ahmed Hassan"/>
    <n v="10"/>
    <n v="8"/>
    <n v="74"/>
    <n v="97"/>
    <n v="100"/>
    <n v="4"/>
    <n v="23"/>
    <n v="0.8"/>
    <s v="Completed"/>
  </r>
  <r>
    <s v="P117"/>
    <s v="Henry Foster"/>
    <d v="2026-11-04T00:00:00"/>
    <x v="1"/>
    <x v="0"/>
    <s v="Hybrid"/>
    <s v="S105"/>
    <s v="Jennifer Lee"/>
    <n v="12"/>
    <n v="12"/>
    <n v="54"/>
    <n v="65"/>
    <n v="125"/>
    <n v="3"/>
    <n v="11"/>
    <n v="1"/>
    <s v="Completed"/>
  </r>
  <r>
    <s v="P118"/>
    <s v="Nora Foster"/>
    <d v="2026-11-04T00:00:00"/>
    <x v="0"/>
    <x v="3"/>
    <s v="In Person"/>
    <s v="S104"/>
    <s v="Carlos Martinez"/>
    <n v="8"/>
    <n v="7"/>
    <n v="66"/>
    <n v="84"/>
    <n v="150"/>
    <n v="4"/>
    <n v="18"/>
    <n v="0.875"/>
    <s v="Completed"/>
  </r>
  <r>
    <s v="P119"/>
    <s v="Samuel Foster"/>
    <d v="2026-11-05T00:00:00"/>
    <x v="0"/>
    <x v="2"/>
    <s v="Hybrid"/>
    <s v="S103"/>
    <s v="Priya Patel"/>
    <n v="10"/>
    <n v="8"/>
    <n v="77"/>
    <n v="84"/>
    <n v="125"/>
    <n v="3"/>
    <n v="7"/>
    <n v="0.8"/>
    <s v="Completed"/>
  </r>
  <r>
    <s v="P120"/>
    <s v="Layla Foster"/>
    <d v="2026-11-05T00:00:00"/>
    <x v="2"/>
    <x v="1"/>
    <s v="In Person"/>
    <s v="S102"/>
    <s v="Michael Brown"/>
    <n v="12"/>
    <n v="9"/>
    <n v="57"/>
    <n v="71"/>
    <n v="100"/>
    <n v="4"/>
    <n v="14"/>
    <n v="0.75"/>
    <s v="Needs Follow-Up"/>
  </r>
  <r>
    <s v="P121"/>
    <s v="Gabriel Foster"/>
    <d v="2026-11-06T00:00:00"/>
    <x v="1"/>
    <x v="0"/>
    <s v="Online"/>
    <s v="S101"/>
    <s v="Rachel Morgan"/>
    <n v="10"/>
    <n v="10"/>
    <n v="69"/>
    <n v="90"/>
    <n v="125"/>
    <n v="4"/>
    <n v="21"/>
    <n v="1"/>
    <s v="Completed"/>
  </r>
  <r>
    <s v="P122"/>
    <s v="Chloe Foster"/>
    <d v="2026-11-06T00:00:00"/>
    <x v="0"/>
    <x v="0"/>
    <s v="Hybrid"/>
    <s v="S106"/>
    <s v="Ahmed Hassan"/>
    <n v="12"/>
    <n v="11"/>
    <n v="49"/>
    <n v="58"/>
    <n v="150"/>
    <n v="3"/>
    <n v="9"/>
    <n v="0.91666666666666663"/>
    <s v="Completed"/>
  </r>
  <r>
    <s v="P123"/>
    <s v="Owen Foster"/>
    <d v="2026-11-07T00:00:00"/>
    <x v="2"/>
    <x v="3"/>
    <s v="Online"/>
    <s v="S105"/>
    <s v="Jennifer Lee"/>
    <n v="8"/>
    <n v="6"/>
    <n v="60"/>
    <n v="76"/>
    <n v="100"/>
    <n v="3"/>
    <n v="16"/>
    <n v="0.75"/>
    <s v="Needs Follow-Up"/>
  </r>
  <r>
    <s v="P124"/>
    <s v="Aria Foster"/>
    <d v="2026-11-07T00:00:00"/>
    <x v="1"/>
    <x v="2"/>
    <s v="Hybrid"/>
    <s v="S105"/>
    <s v="Jennifer Lee"/>
    <n v="10"/>
    <n v="7"/>
    <n v="72"/>
    <n v="95"/>
    <n v="125"/>
    <n v="3"/>
    <n v="23"/>
    <n v="0.7"/>
    <s v="Needs Follow-Up"/>
  </r>
  <r>
    <s v="P125"/>
    <s v="Caleb Foster"/>
    <d v="2026-11-08T00:00:00"/>
    <x v="0"/>
    <x v="1"/>
    <s v="In Person"/>
    <s v="S104"/>
    <s v="Carlos Martinez"/>
    <n v="12"/>
    <n v="12"/>
    <n v="52"/>
    <n v="63"/>
    <n v="150"/>
    <n v="4"/>
    <n v="11"/>
    <n v="1"/>
    <s v="Completed"/>
  </r>
  <r>
    <s v="P126"/>
    <s v="Elena Foster"/>
    <d v="2026-11-08T00:00:00"/>
    <x v="0"/>
    <x v="0"/>
    <s v="Online"/>
    <s v="S103"/>
    <s v="Priya Patel"/>
    <n v="8"/>
    <n v="7"/>
    <n v="63"/>
    <n v="81"/>
    <n v="150"/>
    <n v="4"/>
    <n v="18"/>
    <n v="0.875"/>
    <s v="Completed"/>
  </r>
  <r>
    <s v="P127"/>
    <s v="Noah Garcia"/>
    <d v="2026-11-09T00:00:00"/>
    <x v="2"/>
    <x v="0"/>
    <s v="In Person"/>
    <s v="S102"/>
    <s v="Michael Brown"/>
    <n v="12"/>
    <n v="10"/>
    <n v="75"/>
    <n v="82"/>
    <n v="100"/>
    <n v="3"/>
    <n v="7"/>
    <n v="0.83333333333333337"/>
    <s v="Completed"/>
  </r>
  <r>
    <s v="P128"/>
    <s v="Olivia Garcia"/>
    <d v="2026-11-09T00:00:00"/>
    <x v="1"/>
    <x v="3"/>
    <s v="Online"/>
    <s v="S101"/>
    <s v="Rachel Morgan"/>
    <n v="8"/>
    <n v="8"/>
    <n v="55"/>
    <n v="69"/>
    <n v="125"/>
    <n v="4"/>
    <n v="14"/>
    <n v="1"/>
    <s v="Completed"/>
  </r>
  <r>
    <s v="P129"/>
    <s v="Ethan Garcia"/>
    <d v="2026-11-10T00:00:00"/>
    <x v="0"/>
    <x v="2"/>
    <s v="Hybrid"/>
    <s v="S106"/>
    <s v="Ahmed Hassan"/>
    <n v="10"/>
    <n v="9"/>
    <n v="66"/>
    <n v="87"/>
    <n v="150"/>
    <n v="4"/>
    <n v="21"/>
    <n v="0.9"/>
    <s v="Completed"/>
  </r>
  <r>
    <s v="P130"/>
    <s v="Sophia Garcia"/>
    <d v="2026-11-10T00:00:00"/>
    <x v="2"/>
    <x v="1"/>
    <s v="In Person"/>
    <s v="S105"/>
    <s v="Jennifer Lee"/>
    <n v="12"/>
    <n v="10"/>
    <n v="78"/>
    <n v="87"/>
    <n v="100"/>
    <n v="4"/>
    <n v="9"/>
    <n v="0.83333333333333337"/>
    <s v="Completed"/>
  </r>
  <r>
    <s v="P131"/>
    <s v="Liam Garcia"/>
    <d v="2026-11-11T00:00:00"/>
    <x v="1"/>
    <x v="0"/>
    <s v="Hybrid"/>
    <s v="S104"/>
    <s v="Carlos Martinez"/>
    <n v="8"/>
    <n v="5"/>
    <n v="58"/>
    <n v="74"/>
    <n v="125"/>
    <n v="3"/>
    <n v="16"/>
    <n v="0.625"/>
    <s v="Needs Follow-Up"/>
  </r>
  <r>
    <s v="P132"/>
    <s v="Maya Garcia"/>
    <d v="2026-11-11T00:00:00"/>
    <x v="0"/>
    <x v="0"/>
    <s v="In Person"/>
    <s v="S103"/>
    <s v="Priya Patel"/>
    <n v="10"/>
    <n v="10"/>
    <n v="69"/>
    <n v="92"/>
    <n v="150"/>
    <n v="4"/>
    <n v="23"/>
    <n v="1"/>
    <s v="Completed"/>
  </r>
  <r>
    <s v="P133"/>
    <s v="Lucas Garcia"/>
    <d v="2026-11-12T00:00:00"/>
    <x v="0"/>
    <x v="3"/>
    <s v="Online"/>
    <s v="S103"/>
    <s v="Priya Patel"/>
    <n v="8"/>
    <n v="7"/>
    <n v="50"/>
    <n v="61"/>
    <n v="150"/>
    <n v="3"/>
    <n v="11"/>
    <n v="0.875"/>
    <s v="Completed"/>
  </r>
  <r>
    <s v="P134"/>
    <s v="Isabella Garcia"/>
    <d v="2026-11-12T00:00:00"/>
    <x v="2"/>
    <x v="2"/>
    <s v="Hybrid"/>
    <s v="S102"/>
    <s v="Michael Brown"/>
    <n v="10"/>
    <n v="8"/>
    <n v="61"/>
    <n v="79"/>
    <n v="100"/>
    <n v="4"/>
    <n v="18"/>
    <n v="0.8"/>
    <s v="Completed"/>
  </r>
  <r>
    <s v="P135"/>
    <s v="Mason Garcia"/>
    <d v="2026-11-13T00:00:00"/>
    <x v="1"/>
    <x v="1"/>
    <s v="Online"/>
    <s v="S101"/>
    <s v="Rachel Morgan"/>
    <n v="12"/>
    <n v="9"/>
    <n v="72"/>
    <n v="79"/>
    <n v="125"/>
    <n v="3"/>
    <n v="7"/>
    <n v="0.75"/>
    <s v="Needs Follow-Up"/>
  </r>
  <r>
    <s v="P136"/>
    <s v="Zoe Garcia"/>
    <d v="2026-11-13T00:00:00"/>
    <x v="0"/>
    <x v="0"/>
    <s v="Hybrid"/>
    <s v="S106"/>
    <s v="Ahmed Hassan"/>
    <n v="8"/>
    <n v="8"/>
    <n v="53"/>
    <n v="67"/>
    <n v="125"/>
    <n v="4"/>
    <n v="14"/>
    <n v="1"/>
    <s v="Completed"/>
  </r>
  <r>
    <s v="P137"/>
    <s v="Henry Garcia"/>
    <d v="2026-11-14T00:00:00"/>
    <x v="2"/>
    <x v="0"/>
    <s v="In Person"/>
    <s v="S105"/>
    <s v="Jennifer Lee"/>
    <n v="10"/>
    <n v="9"/>
    <n v="64"/>
    <n v="85"/>
    <n v="100"/>
    <n v="4"/>
    <n v="21"/>
    <n v="0.9"/>
    <s v="Completed"/>
  </r>
  <r>
    <s v="P138"/>
    <s v="Nora Garcia"/>
    <d v="2026-11-14T00:00:00"/>
    <x v="1"/>
    <x v="3"/>
    <s v="Online"/>
    <s v="S104"/>
    <s v="Carlos Martinez"/>
    <n v="12"/>
    <n v="10"/>
    <n v="75"/>
    <n v="84"/>
    <n v="125"/>
    <n v="3"/>
    <n v="9"/>
    <n v="0.83333333333333337"/>
    <s v="Completed"/>
  </r>
  <r>
    <s v="P139"/>
    <s v="Samuel Garcia"/>
    <d v="2026-11-15T00:00:00"/>
    <x v="0"/>
    <x v="2"/>
    <s v="In Person"/>
    <s v="S103"/>
    <s v="Priya Patel"/>
    <n v="10"/>
    <n v="10"/>
    <n v="56"/>
    <n v="72"/>
    <n v="150"/>
    <n v="4"/>
    <n v="16"/>
    <n v="1"/>
    <s v="Completed"/>
  </r>
  <r>
    <s v="P140"/>
    <s v="Layla Garcia"/>
    <d v="2026-11-15T00:00:00"/>
    <x v="0"/>
    <x v="1"/>
    <s v="Online"/>
    <s v="S102"/>
    <s v="Michael Brown"/>
    <n v="12"/>
    <n v="11"/>
    <n v="67"/>
    <n v="90"/>
    <n v="150"/>
    <n v="5"/>
    <n v="23"/>
    <n v="0.91666666666666663"/>
    <s v="Completed"/>
  </r>
  <r>
    <s v="P141"/>
    <s v="Gabriel Garcia"/>
    <d v="2026-11-16T00:00:00"/>
    <x v="2"/>
    <x v="0"/>
    <s v="Hybrid"/>
    <s v="S101"/>
    <s v="Rachel Morgan"/>
    <n v="8"/>
    <n v="6"/>
    <n v="78"/>
    <n v="89"/>
    <n v="100"/>
    <n v="2"/>
    <n v="11"/>
    <n v="0.75"/>
    <s v="Needs Follow-Up"/>
  </r>
  <r>
    <s v="P142"/>
    <s v="Chloe Garcia"/>
    <d v="2026-11-16T00:00:00"/>
    <x v="1"/>
    <x v="0"/>
    <s v="In Person"/>
    <s v="S101"/>
    <s v="Rachel Morgan"/>
    <n v="10"/>
    <n v="7"/>
    <n v="59"/>
    <n v="77"/>
    <n v="125"/>
    <n v="3"/>
    <n v="18"/>
    <n v="0.7"/>
    <s v="Needs Follow-Up"/>
  </r>
  <r>
    <s v="P143"/>
    <s v="Owen Garcia"/>
    <d v="2026-11-17T00:00:00"/>
    <x v="0"/>
    <x v="3"/>
    <s v="Hybrid"/>
    <s v="S106"/>
    <s v="Ahmed Hassan"/>
    <n v="12"/>
    <n v="12"/>
    <n v="70"/>
    <n v="77"/>
    <n v="150"/>
    <n v="3"/>
    <n v="7"/>
    <n v="1"/>
    <s v="Completed"/>
  </r>
  <r>
    <s v="P144"/>
    <s v="Aria Garcia"/>
    <d v="2026-11-17T00:00:00"/>
    <x v="2"/>
    <x v="2"/>
    <s v="In Person"/>
    <s v="S105"/>
    <s v="Jennifer Lee"/>
    <n v="8"/>
    <n v="7"/>
    <n v="50"/>
    <n v="64"/>
    <n v="100"/>
    <n v="4"/>
    <n v="14"/>
    <n v="0.875"/>
    <s v="Completed"/>
  </r>
  <r>
    <s v="P145"/>
    <s v="Caleb Garcia"/>
    <d v="2026-11-18T00:00:00"/>
    <x v="1"/>
    <x v="1"/>
    <s v="Online"/>
    <s v="S104"/>
    <s v="Carlos Martinez"/>
    <n v="12"/>
    <n v="10"/>
    <n v="62"/>
    <n v="83"/>
    <n v="125"/>
    <n v="5"/>
    <n v="21"/>
    <n v="0.83333333333333337"/>
    <s v="Completed"/>
  </r>
  <r>
    <s v="P146"/>
    <s v="Elena Garcia"/>
    <d v="2026-11-18T00:00:00"/>
    <x v="0"/>
    <x v="0"/>
    <s v="Hybrid"/>
    <s v="S103"/>
    <s v="Priya Patel"/>
    <n v="8"/>
    <n v="5"/>
    <n v="73"/>
    <n v="82"/>
    <n v="150"/>
    <n v="2"/>
    <n v="9"/>
    <n v="0.625"/>
    <s v="Needs Follow-Up"/>
  </r>
  <r>
    <s v="P147"/>
    <s v="Noah Harris"/>
    <d v="2026-11-19T00:00:00"/>
    <x v="0"/>
    <x v="0"/>
    <s v="Online"/>
    <s v="S102"/>
    <s v="Michael Brown"/>
    <n v="10"/>
    <n v="10"/>
    <n v="53"/>
    <n v="69"/>
    <n v="150"/>
    <n v="4"/>
    <n v="16"/>
    <n v="1"/>
    <s v="Completed"/>
  </r>
  <r>
    <s v="P148"/>
    <s v="Olivia Harris"/>
    <d v="2026-11-19T00:00:00"/>
    <x v="2"/>
    <x v="3"/>
    <s v="Hybrid"/>
    <s v="S101"/>
    <s v="Rachel Morgan"/>
    <n v="12"/>
    <n v="11"/>
    <n v="65"/>
    <n v="88"/>
    <n v="100"/>
    <n v="4"/>
    <n v="23"/>
    <n v="0.91666666666666663"/>
    <s v="Completed"/>
  </r>
  <r>
    <s v="P149"/>
    <s v="Ethan Harris"/>
    <d v="2026-11-20T00:00:00"/>
    <x v="1"/>
    <x v="2"/>
    <s v="In Person"/>
    <s v="S106"/>
    <s v="Ahmed Hassan"/>
    <n v="8"/>
    <n v="6"/>
    <n v="76"/>
    <n v="87"/>
    <n v="125"/>
    <n v="2"/>
    <n v="11"/>
    <n v="0.75"/>
    <s v="Needs Follow-Up"/>
  </r>
  <r>
    <s v="P150"/>
    <s v="Sophia Harris"/>
    <d v="2026-11-20T00:00:00"/>
    <x v="0"/>
    <x v="1"/>
    <s v="Online"/>
    <s v="S105"/>
    <s v="Jennifer Lee"/>
    <n v="10"/>
    <n v="10"/>
    <n v="56"/>
    <n v="74"/>
    <n v="150"/>
    <n v="5"/>
    <n v="18"/>
    <n v="1"/>
    <s v="Completed"/>
  </r>
  <r>
    <s v="P151"/>
    <s v="Liam Harris"/>
    <d v="2026-11-21T00:00:00"/>
    <x v="2"/>
    <x v="0"/>
    <s v="In Person"/>
    <s v="S105"/>
    <s v="Jennifer Lee"/>
    <n v="8"/>
    <n v="7"/>
    <n v="68"/>
    <n v="75"/>
    <n v="100"/>
    <n v="3"/>
    <n v="7"/>
    <n v="0.875"/>
    <s v="Completed"/>
  </r>
  <r>
    <s v="P152"/>
    <s v="Maya Harris"/>
    <d v="2026-11-21T00:00:00"/>
    <x v="1"/>
    <x v="0"/>
    <s v="Online"/>
    <s v="S104"/>
    <s v="Carlos Martinez"/>
    <n v="10"/>
    <n v="8"/>
    <n v="48"/>
    <n v="62"/>
    <n v="125"/>
    <n v="4"/>
    <n v="14"/>
    <n v="0.8"/>
    <s v="Completed"/>
  </r>
  <r>
    <s v="P153"/>
    <s v="Lucas Harris"/>
    <d v="2026-11-22T00:00:00"/>
    <x v="0"/>
    <x v="3"/>
    <s v="Hybrid"/>
    <s v="S103"/>
    <s v="Priya Patel"/>
    <n v="12"/>
    <n v="9"/>
    <n v="59"/>
    <n v="80"/>
    <n v="125"/>
    <n v="3"/>
    <n v="21"/>
    <n v="0.75"/>
    <s v="Needs Follow-Up"/>
  </r>
  <r>
    <s v="P154"/>
    <s v="Isabella Harris"/>
    <d v="2026-11-22T00:00:00"/>
    <x v="0"/>
    <x v="2"/>
    <s v="In Person"/>
    <s v="S102"/>
    <s v="Michael Brown"/>
    <n v="8"/>
    <n v="8"/>
    <n v="71"/>
    <n v="80"/>
    <n v="150"/>
    <n v="3"/>
    <n v="9"/>
    <n v="1"/>
    <s v="Completed"/>
  </r>
  <r>
    <s v="P155"/>
    <s v="Mason Harris"/>
    <d v="2026-11-23T00:00:00"/>
    <x v="2"/>
    <x v="1"/>
    <s v="Hybrid"/>
    <s v="S101"/>
    <s v="Rachel Morgan"/>
    <n v="10"/>
    <n v="9"/>
    <n v="51"/>
    <n v="67"/>
    <n v="100"/>
    <n v="5"/>
    <n v="16"/>
    <n v="0.9"/>
    <s v="Completed"/>
  </r>
  <r>
    <s v="P156"/>
    <s v="Zoe Harris"/>
    <d v="2026-11-23T00:00:00"/>
    <x v="1"/>
    <x v="0"/>
    <s v="In Person"/>
    <s v="S106"/>
    <s v="Ahmed Hassan"/>
    <n v="12"/>
    <n v="10"/>
    <n v="62"/>
    <n v="85"/>
    <n v="125"/>
    <n v="4"/>
    <n v="23"/>
    <n v="0.83333333333333337"/>
    <s v="Completed"/>
  </r>
  <r>
    <s v="P157"/>
    <s v="Henry Harris"/>
    <d v="2026-11-24T00:00:00"/>
    <x v="0"/>
    <x v="0"/>
    <s v="Online"/>
    <s v="S105"/>
    <s v="Jennifer Lee"/>
    <n v="10"/>
    <n v="7"/>
    <n v="74"/>
    <n v="85"/>
    <n v="150"/>
    <n v="2"/>
    <n v="11"/>
    <n v="0.7"/>
    <s v="Needs Follow-Up"/>
  </r>
  <r>
    <s v="P158"/>
    <s v="Nora Harris"/>
    <d v="2026-11-24T00:00:00"/>
    <x v="2"/>
    <x v="3"/>
    <s v="Hybrid"/>
    <s v="S104"/>
    <s v="Carlos Martinez"/>
    <n v="12"/>
    <n v="12"/>
    <n v="54"/>
    <n v="72"/>
    <n v="100"/>
    <n v="4"/>
    <n v="18"/>
    <n v="1"/>
    <s v="Completed"/>
  </r>
  <r>
    <s v="P159"/>
    <s v="Samuel Harris"/>
    <d v="2026-11-25T00:00:00"/>
    <x v="1"/>
    <x v="2"/>
    <s v="Online"/>
    <s v="S103"/>
    <s v="Priya Patel"/>
    <n v="8"/>
    <n v="7"/>
    <n v="65"/>
    <n v="72"/>
    <n v="125"/>
    <n v="3"/>
    <n v="7"/>
    <n v="0.875"/>
    <s v="Completed"/>
  </r>
  <r>
    <s v="P160"/>
    <s v="Layla Harris"/>
    <d v="2026-11-25T00:00:00"/>
    <x v="0"/>
    <x v="1"/>
    <s v="Hybrid"/>
    <s v="S103"/>
    <s v="Priya Patel"/>
    <n v="10"/>
    <n v="8"/>
    <n v="77"/>
    <n v="91"/>
    <n v="150"/>
    <n v="5"/>
    <n v="14"/>
    <n v="0.8"/>
    <s v="Completed"/>
  </r>
  <r>
    <s v="P161"/>
    <s v="Gabriel Harris"/>
    <d v="2026-11-26T00:00:00"/>
    <x v="0"/>
    <x v="0"/>
    <s v="In Person"/>
    <s v="S102"/>
    <s v="Michael Brown"/>
    <n v="12"/>
    <n v="12"/>
    <n v="57"/>
    <n v="78"/>
    <n v="150"/>
    <n v="4"/>
    <n v="21"/>
    <n v="1"/>
    <s v="Completed"/>
  </r>
  <r>
    <s v="P162"/>
    <s v="Chloe Harris"/>
    <d v="2026-11-26T00:00:00"/>
    <x v="2"/>
    <x v="0"/>
    <s v="Online"/>
    <s v="S101"/>
    <s v="Rachel Morgan"/>
    <n v="8"/>
    <n v="7"/>
    <n v="68"/>
    <n v="77"/>
    <n v="100"/>
    <n v="3"/>
    <n v="9"/>
    <n v="0.875"/>
    <s v="Completed"/>
  </r>
  <r>
    <s v="P163"/>
    <s v="Owen Harris"/>
    <d v="2026-11-27T00:00:00"/>
    <x v="1"/>
    <x v="3"/>
    <s v="In Person"/>
    <s v="S106"/>
    <s v="Ahmed Hassan"/>
    <n v="12"/>
    <n v="10"/>
    <n v="49"/>
    <n v="65"/>
    <n v="125"/>
    <n v="4"/>
    <n v="16"/>
    <n v="0.83333333333333337"/>
    <s v="Completed"/>
  </r>
  <r>
    <s v="P164"/>
    <s v="Aria Harris"/>
    <d v="2026-11-27T00:00:00"/>
    <x v="0"/>
    <x v="2"/>
    <s v="Online"/>
    <s v="S105"/>
    <s v="Jennifer Lee"/>
    <n v="8"/>
    <n v="5"/>
    <n v="60"/>
    <n v="83"/>
    <n v="150"/>
    <n v="3"/>
    <n v="23"/>
    <n v="0.625"/>
    <s v="Needs Follow-Up"/>
  </r>
  <r>
    <s v="P165"/>
    <s v="Caleb Harris"/>
    <d v="2026-11-28T00:00:00"/>
    <x v="2"/>
    <x v="1"/>
    <s v="Hybrid"/>
    <s v="S104"/>
    <s v="Carlos Martinez"/>
    <n v="10"/>
    <n v="10"/>
    <n v="71"/>
    <n v="82"/>
    <n v="100"/>
    <n v="4"/>
    <n v="11"/>
    <n v="1"/>
    <s v="Completed"/>
  </r>
  <r>
    <s v="P166"/>
    <s v="Elena Harris"/>
    <d v="2026-11-28T00:00:00"/>
    <x v="1"/>
    <x v="0"/>
    <s v="In Person"/>
    <s v="S103"/>
    <s v="Priya Patel"/>
    <n v="12"/>
    <n v="11"/>
    <n v="52"/>
    <n v="70"/>
    <n v="125"/>
    <n v="4"/>
    <n v="18"/>
    <n v="0.91666666666666663"/>
    <s v="Completed"/>
  </r>
  <r>
    <s v="P167"/>
    <s v="Noah Iqbal"/>
    <d v="2026-11-29T00:00:00"/>
    <x v="0"/>
    <x v="0"/>
    <s v="Hybrid"/>
    <s v="S102"/>
    <s v="Michael Brown"/>
    <n v="8"/>
    <n v="6"/>
    <n v="63"/>
    <n v="70"/>
    <n v="150"/>
    <n v="2"/>
    <n v="7"/>
    <n v="0.75"/>
    <s v="Needs Follow-Up"/>
  </r>
  <r>
    <s v="P168"/>
    <s v="Olivia Iqbal"/>
    <d v="2026-11-29T00:00:00"/>
    <x v="0"/>
    <x v="3"/>
    <s v="In Person"/>
    <s v="S101"/>
    <s v="Rachel Morgan"/>
    <n v="10"/>
    <n v="7"/>
    <n v="74"/>
    <n v="88"/>
    <n v="150"/>
    <n v="3"/>
    <n v="14"/>
    <n v="0.7"/>
    <s v="Needs Follow-Up"/>
  </r>
  <r>
    <s v="P169"/>
    <s v="Ethan Iqbal"/>
    <d v="2026-11-30T00:00:00"/>
    <x v="2"/>
    <x v="2"/>
    <s v="Online"/>
    <s v="S101"/>
    <s v="Rachel Morgan"/>
    <n v="8"/>
    <n v="8"/>
    <n v="55"/>
    <n v="76"/>
    <n v="100"/>
    <n v="4"/>
    <n v="21"/>
    <n v="1"/>
    <s v="Completed"/>
  </r>
  <r>
    <s v="P170"/>
    <s v="Sophia Iqbal"/>
    <d v="2026-11-30T00:00:00"/>
    <x v="1"/>
    <x v="1"/>
    <s v="Hybrid"/>
    <s v="S106"/>
    <s v="Ahmed Hassan"/>
    <n v="10"/>
    <n v="9"/>
    <n v="66"/>
    <n v="75"/>
    <n v="100"/>
    <n v="4"/>
    <n v="9"/>
    <n v="0.9"/>
    <s v="Completed"/>
  </r>
  <r>
    <s v="P171"/>
    <s v="Liam Iqbal"/>
    <d v="2026-12-01T00:00:00"/>
    <x v="0"/>
    <x v="0"/>
    <s v="Online"/>
    <s v="S105"/>
    <s v="Jennifer Lee"/>
    <n v="12"/>
    <n v="10"/>
    <n v="77"/>
    <n v="93"/>
    <n v="150"/>
    <n v="4"/>
    <n v="16"/>
    <n v="0.83333333333333337"/>
    <s v="Completed"/>
  </r>
  <r>
    <s v="P172"/>
    <s v="Maya Iqbal"/>
    <d v="2026-12-01T00:00:00"/>
    <x v="2"/>
    <x v="0"/>
    <s v="Hybrid"/>
    <s v="S104"/>
    <s v="Carlos Martinez"/>
    <n v="8"/>
    <n v="8"/>
    <n v="58"/>
    <n v="81"/>
    <n v="100"/>
    <n v="4"/>
    <n v="23"/>
    <n v="1"/>
    <s v="Completed"/>
  </r>
  <r>
    <s v="P173"/>
    <s v="Lucas Iqbal"/>
    <d v="2026-12-02T00:00:00"/>
    <x v="1"/>
    <x v="3"/>
    <s v="In Person"/>
    <s v="S103"/>
    <s v="Priya Patel"/>
    <n v="10"/>
    <n v="9"/>
    <n v="69"/>
    <n v="80"/>
    <n v="125"/>
    <n v="3"/>
    <n v="11"/>
    <n v="0.9"/>
    <s v="Completed"/>
  </r>
  <r>
    <s v="P174"/>
    <s v="Isabella Iqbal"/>
    <d v="2026-12-02T00:00:00"/>
    <x v="0"/>
    <x v="2"/>
    <s v="Online"/>
    <s v="S102"/>
    <s v="Michael Brown"/>
    <n v="12"/>
    <n v="10"/>
    <n v="49"/>
    <n v="67"/>
    <n v="150"/>
    <n v="4"/>
    <n v="18"/>
    <n v="0.83333333333333337"/>
    <s v="Completed"/>
  </r>
  <r>
    <s v="P175"/>
    <s v="Mason Iqbal"/>
    <d v="2026-12-03T00:00:00"/>
    <x v="0"/>
    <x v="1"/>
    <s v="In Person"/>
    <s v="S101"/>
    <s v="Rachel Morgan"/>
    <n v="10"/>
    <n v="7"/>
    <n v="61"/>
    <n v="68"/>
    <n v="150"/>
    <n v="3"/>
    <n v="7"/>
    <n v="0.7"/>
    <s v="Needs Follow-Up"/>
  </r>
  <r>
    <s v="P176"/>
    <s v="Zoe Iqbal"/>
    <d v="2026-12-03T00:00:00"/>
    <x v="2"/>
    <x v="0"/>
    <s v="Online"/>
    <s v="S106"/>
    <s v="Ahmed Hassan"/>
    <n v="12"/>
    <n v="12"/>
    <n v="72"/>
    <n v="86"/>
    <n v="100"/>
    <n v="4"/>
    <n v="14"/>
    <n v="1"/>
    <s v="Completed"/>
  </r>
  <r>
    <s v="P177"/>
    <s v="Henry Iqbal"/>
    <d v="2026-12-04T00:00:00"/>
    <x v="1"/>
    <x v="0"/>
    <s v="Hybrid"/>
    <s v="S105"/>
    <s v="Jennifer Lee"/>
    <n v="8"/>
    <n v="7"/>
    <n v="52"/>
    <n v="73"/>
    <n v="125"/>
    <n v="4"/>
    <n v="21"/>
    <n v="0.875"/>
    <s v="Completed"/>
  </r>
  <r>
    <s v="P178"/>
    <s v="Nora Iqbal"/>
    <d v="2026-12-04T00:00:00"/>
    <x v="0"/>
    <x v="3"/>
    <s v="In Person"/>
    <s v="S105"/>
    <s v="Jennifer Lee"/>
    <n v="10"/>
    <n v="8"/>
    <n v="64"/>
    <n v="73"/>
    <n v="150"/>
    <n v="3"/>
    <n v="9"/>
    <n v="0.8"/>
    <s v="Completed"/>
  </r>
  <r>
    <s v="P179"/>
    <s v="Samuel Iqbal"/>
    <d v="2026-12-05T00:00:00"/>
    <x v="2"/>
    <x v="2"/>
    <s v="Hybrid"/>
    <s v="S104"/>
    <s v="Carlos Martinez"/>
    <n v="12"/>
    <n v="9"/>
    <n v="75"/>
    <n v="91"/>
    <n v="100"/>
    <n v="3"/>
    <n v="16"/>
    <n v="0.75"/>
    <s v="Needs Follow-Up"/>
  </r>
  <r>
    <s v="P180"/>
    <s v="Layla Iqbal"/>
    <d v="2026-12-05T00:00:00"/>
    <x v="1"/>
    <x v="1"/>
    <s v="In Person"/>
    <s v="S103"/>
    <s v="Priya Patel"/>
    <n v="8"/>
    <n v="8"/>
    <n v="55"/>
    <n v="78"/>
    <n v="125"/>
    <n v="5"/>
    <n v="23"/>
    <n v="1"/>
    <s v="Completed"/>
  </r>
  <r>
    <s v="P181"/>
    <s v="Gabriel Iqbal"/>
    <d v="2026-12-06T00:00:00"/>
    <x v="0"/>
    <x v="0"/>
    <s v="Online"/>
    <s v="S102"/>
    <s v="Michael Brown"/>
    <n v="12"/>
    <n v="11"/>
    <n v="67"/>
    <n v="78"/>
    <n v="150"/>
    <n v="3"/>
    <n v="11"/>
    <n v="0.91666666666666663"/>
    <s v="Completed"/>
  </r>
  <r>
    <s v="P182"/>
    <s v="Chloe Iqbal"/>
    <d v="2026-12-06T00:00:00"/>
    <x v="0"/>
    <x v="0"/>
    <s v="Hybrid"/>
    <s v="S101"/>
    <s v="Rachel Morgan"/>
    <n v="8"/>
    <n v="6"/>
    <n v="78"/>
    <n v="96"/>
    <n v="150"/>
    <n v="3"/>
    <n v="18"/>
    <n v="0.75"/>
    <s v="Needs Follow-Up"/>
  </r>
  <r>
    <s v="P183"/>
    <s v="Owen Iqbal"/>
    <d v="2026-12-07T00:00:00"/>
    <x v="2"/>
    <x v="3"/>
    <s v="Online"/>
    <s v="S106"/>
    <s v="Ahmed Hassan"/>
    <n v="10"/>
    <n v="10"/>
    <n v="58"/>
    <n v="65"/>
    <n v="100"/>
    <n v="3"/>
    <n v="7"/>
    <n v="1"/>
    <s v="Completed"/>
  </r>
  <r>
    <s v="P184"/>
    <s v="Aria Iqbal"/>
    <d v="2026-12-07T00:00:00"/>
    <x v="1"/>
    <x v="2"/>
    <s v="Hybrid"/>
    <s v="S105"/>
    <s v="Jennifer Lee"/>
    <n v="12"/>
    <n v="11"/>
    <n v="70"/>
    <n v="84"/>
    <n v="125"/>
    <n v="4"/>
    <n v="14"/>
    <n v="0.91666666666666663"/>
    <s v="Completed"/>
  </r>
  <r>
    <s v="P185"/>
    <s v="Caleb Iqbal"/>
    <d v="2026-12-08T00:00:00"/>
    <x v="0"/>
    <x v="1"/>
    <s v="In Person"/>
    <s v="S104"/>
    <s v="Carlos Martinez"/>
    <n v="8"/>
    <n v="6"/>
    <n v="50"/>
    <n v="71"/>
    <n v="150"/>
    <n v="4"/>
    <n v="21"/>
    <n v="0.75"/>
    <s v="Needs Follow-Up"/>
  </r>
  <r>
    <s v="P186"/>
    <s v="Elena Iqbal"/>
    <d v="2026-12-08T00:00:00"/>
    <x v="2"/>
    <x v="0"/>
    <s v="Online"/>
    <s v="S103"/>
    <s v="Priya Patel"/>
    <n v="10"/>
    <n v="7"/>
    <n v="61"/>
    <n v="70"/>
    <n v="100"/>
    <n v="2"/>
    <n v="9"/>
    <n v="0.7"/>
    <s v="Needs Follow-Up"/>
  </r>
  <r>
    <s v="P187"/>
    <s v="Noah Johnson"/>
    <d v="2026-12-09T00:00:00"/>
    <x v="1"/>
    <x v="0"/>
    <s v="In Person"/>
    <s v="S103"/>
    <s v="Priya Patel"/>
    <n v="8"/>
    <n v="8"/>
    <n v="73"/>
    <n v="89"/>
    <n v="100"/>
    <n v="4"/>
    <n v="16"/>
    <n v="1"/>
    <s v="Completed"/>
  </r>
  <r>
    <s v="P188"/>
    <s v="Olivia Johnson"/>
    <d v="2026-12-09T00:00:00"/>
    <x v="0"/>
    <x v="3"/>
    <s v="Online"/>
    <s v="S102"/>
    <s v="Michael Brown"/>
    <n v="10"/>
    <n v="9"/>
    <n v="53"/>
    <n v="76"/>
    <n v="150"/>
    <n v="4"/>
    <n v="23"/>
    <n v="0.9"/>
    <s v="Completed"/>
  </r>
  <r>
    <s v="P189"/>
    <s v="Ethan Johnson"/>
    <d v="2026-12-10T00:00:00"/>
    <x v="0"/>
    <x v="2"/>
    <s v="Hybrid"/>
    <s v="S101"/>
    <s v="Rachel Morgan"/>
    <n v="12"/>
    <n v="10"/>
    <n v="64"/>
    <n v="75"/>
    <n v="150"/>
    <n v="3"/>
    <n v="11"/>
    <n v="0.83333333333333337"/>
    <s v="Completed"/>
  </r>
  <r>
    <s v="P190"/>
    <s v="Sophia Johnson"/>
    <d v="2026-12-10T00:00:00"/>
    <x v="2"/>
    <x v="1"/>
    <s v="In Person"/>
    <s v="S106"/>
    <s v="Ahmed Hassan"/>
    <n v="8"/>
    <n v="5"/>
    <n v="76"/>
    <n v="94"/>
    <n v="100"/>
    <n v="4"/>
    <n v="18"/>
    <n v="0.625"/>
    <s v="Needs Follow-Up"/>
  </r>
  <r>
    <s v="P191"/>
    <s v="Liam Johnson"/>
    <d v="2026-12-11T00:00:00"/>
    <x v="1"/>
    <x v="0"/>
    <s v="Hybrid"/>
    <s v="S105"/>
    <s v="Jennifer Lee"/>
    <n v="10"/>
    <n v="10"/>
    <n v="56"/>
    <n v="63"/>
    <n v="125"/>
    <n v="3"/>
    <n v="7"/>
    <n v="1"/>
    <s v="Completed"/>
  </r>
  <r>
    <s v="P192"/>
    <s v="Maya Johnson"/>
    <d v="2026-12-11T00:00:00"/>
    <x v="0"/>
    <x v="0"/>
    <s v="In Person"/>
    <s v="S104"/>
    <s v="Carlos Martinez"/>
    <n v="12"/>
    <n v="11"/>
    <n v="67"/>
    <n v="81"/>
    <n v="150"/>
    <n v="4"/>
    <n v="14"/>
    <n v="0.91666666666666663"/>
    <s v="Completed"/>
  </r>
  <r>
    <s v="P193"/>
    <s v="Lucas Johnson"/>
    <d v="2026-12-12T00:00:00"/>
    <x v="2"/>
    <x v="3"/>
    <s v="Online"/>
    <s v="S103"/>
    <s v="Priya Patel"/>
    <n v="10"/>
    <n v="8"/>
    <n v="48"/>
    <n v="69"/>
    <n v="100"/>
    <n v="4"/>
    <n v="21"/>
    <n v="0.8"/>
    <s v="Completed"/>
  </r>
  <r>
    <s v="P194"/>
    <s v="Isabella Johnson"/>
    <d v="2026-12-12T00:00:00"/>
    <x v="1"/>
    <x v="2"/>
    <s v="Hybrid"/>
    <s v="S102"/>
    <s v="Michael Brown"/>
    <n v="12"/>
    <n v="12"/>
    <n v="59"/>
    <n v="68"/>
    <n v="125"/>
    <n v="3"/>
    <n v="9"/>
    <n v="1"/>
    <s v="Completed"/>
  </r>
  <r>
    <s v="P195"/>
    <s v="Mason Johnson"/>
    <d v="2026-12-13T00:00:00"/>
    <x v="0"/>
    <x v="1"/>
    <s v="Online"/>
    <s v="S101"/>
    <s v="Rachel Morgan"/>
    <n v="8"/>
    <n v="7"/>
    <n v="70"/>
    <n v="86"/>
    <n v="150"/>
    <n v="5"/>
    <n v="16"/>
    <n v="0.875"/>
    <s v="Completed"/>
  </r>
  <r>
    <s v="P196"/>
    <s v="Zoe Johnson"/>
    <d v="2026-12-13T00:00:00"/>
    <x v="0"/>
    <x v="0"/>
    <s v="Hybrid"/>
    <s v="S101"/>
    <s v="Rachel Morgan"/>
    <n v="10"/>
    <n v="8"/>
    <n v="51"/>
    <n v="74"/>
    <n v="150"/>
    <n v="4"/>
    <n v="23"/>
    <n v="0.8"/>
    <s v="Completed"/>
  </r>
  <r>
    <s v="P197"/>
    <s v="Henry Johnson"/>
    <d v="2026-12-14T00:00:00"/>
    <x v="2"/>
    <x v="0"/>
    <s v="In Person"/>
    <s v="S106"/>
    <s v="Ahmed Hassan"/>
    <n v="12"/>
    <n v="9"/>
    <n v="62"/>
    <n v="73"/>
    <n v="100"/>
    <n v="2"/>
    <n v="11"/>
    <n v="0.75"/>
    <s v="Needs Follow-Up"/>
  </r>
  <r>
    <s v="P198"/>
    <s v="Nora Johnson"/>
    <d v="2026-12-14T00:00:00"/>
    <x v="1"/>
    <x v="3"/>
    <s v="Online"/>
    <s v="S105"/>
    <s v="Jennifer Lee"/>
    <n v="8"/>
    <n v="8"/>
    <n v="73"/>
    <n v="91"/>
    <n v="125"/>
    <n v="4"/>
    <n v="18"/>
    <n v="1"/>
    <s v="Completed"/>
  </r>
  <r>
    <s v="P199"/>
    <s v="Samuel Johnson"/>
    <d v="2026-12-15T00:00:00"/>
    <x v="0"/>
    <x v="2"/>
    <s v="In Person"/>
    <s v="S104"/>
    <s v="Carlos Martinez"/>
    <n v="12"/>
    <n v="11"/>
    <n v="54"/>
    <n v="61"/>
    <n v="150"/>
    <n v="3"/>
    <n v="7"/>
    <n v="0.91666666666666663"/>
    <s v="Completed"/>
  </r>
  <r>
    <s v="P200"/>
    <s v="Layla Johnson"/>
    <d v="2026-12-15T00:00:00"/>
    <x v="2"/>
    <x v="1"/>
    <s v="Online"/>
    <s v="S103"/>
    <s v="Priya Patel"/>
    <n v="8"/>
    <n v="6"/>
    <n v="65"/>
    <n v="79"/>
    <n v="100"/>
    <n v="4"/>
    <n v="14"/>
    <n v="0.75"/>
    <s v="Needs Follow-U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7DFC9-5D58-402E-AC25-5FBBD8553D9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7">
    <pivotField dataField="1"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9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Participant Count" fld="0" subtotal="count" baseField="3" baseItem="0"/>
    <dataField name="Sum of Program_Fee" fld="12" baseField="0" baseItem="0"/>
    <dataField name="Attendance Rate (ave)" fld="15" subtotal="average" baseField="3" baseItem="0" numFmtId="9"/>
    <dataField name="Average of Score Change" fld="14" subtotal="average" baseField="3" baseItem="0"/>
  </dataFields>
  <formats count="5">
    <format dxfId="0">
      <pivotArea collapsedLevelsAreSubtotals="1" fieldPosition="0">
        <references count="2">
          <reference field="4294967294" count="1" selected="0">
            <x v="3"/>
          </reference>
          <reference field="3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3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3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4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88348-D507-4597-ABED-BEEE029678AE}" name="ParticipantData" displayName="ParticipantData" ref="A1:Q201" totalsRowShown="0" headerRowDxfId="21">
  <autoFilter ref="A1:Q201" xr:uid="{ACB88348-D507-4597-ABED-BEEE029678AE}"/>
  <sortState xmlns:xlrd2="http://schemas.microsoft.com/office/spreadsheetml/2017/richdata2" ref="A2:Q201">
    <sortCondition ref="A1:A201"/>
  </sortState>
  <tableColumns count="17">
    <tableColumn id="1" xr3:uid="{035688C2-3C9A-403A-B404-740779B08365}" name="Participant_ID" dataDxfId="20"/>
    <tableColumn id="2" xr3:uid="{639B034C-8FCC-439F-ADD4-D7F8B609C05C}" name="Participant_Name" dataDxfId="19"/>
    <tableColumn id="3" xr3:uid="{2C62FE9D-2C3A-43D3-8323-446A252C82AA}" name="Enrollment_Date" dataDxfId="18"/>
    <tableColumn id="4" xr3:uid="{36730D59-2DBB-4AAB-9A38-A6DDA0C028BD}" name="Program" dataDxfId="17"/>
    <tableColumn id="5" xr3:uid="{5E4012B2-743F-4438-8714-5F3FEA327D0F}" name="Region" dataDxfId="16"/>
    <tableColumn id="6" xr3:uid="{CD0AA4A7-0964-4F45-B55B-DF303CF172E4}" name="Delivery_Mode" dataDxfId="15"/>
    <tableColumn id="7" xr3:uid="{49A8742D-53CF-4413-A2F2-C61AF44A2095}" name="Staff_ID" dataDxfId="14"/>
    <tableColumn id="17" xr3:uid="{F7F413C6-5384-47DD-8EEF-D80CB315C3E9}" name="Staff_Name" dataDxfId="13">
      <calculatedColumnFormula>_xlfn.XLOOKUP(G2,Staff_Lookup!$A$2:$A$7,Staff_Lookup!$B$2:$B$7,"Not Found")</calculatedColumnFormula>
    </tableColumn>
    <tableColumn id="8" xr3:uid="{124DE7E0-A401-49D3-921F-007023436DAA}" name="Sessions_Offered" dataDxfId="12"/>
    <tableColumn id="9" xr3:uid="{53A8B928-2640-4A95-BAEF-87BFD84D06D2}" name="Sessions_Attended" dataDxfId="11"/>
    <tableColumn id="10" xr3:uid="{D06E9197-9544-4EA2-A753-B09ED7ED6671}" name="Pre_Score" dataDxfId="10"/>
    <tableColumn id="11" xr3:uid="{8A88C635-AC8F-424D-8426-C117E12ECF4F}" name="Post_Score" dataDxfId="9"/>
    <tableColumn id="12" xr3:uid="{95B36429-9E06-4841-BEE9-D213A393FCCF}" name="Program_Fee" dataDxfId="8"/>
    <tableColumn id="13" xr3:uid="{6E8AB666-D759-4636-ACF9-84DF6134ED87}" name="Satisfaction" dataDxfId="7"/>
    <tableColumn id="14" xr3:uid="{0B7C0B45-E619-41F6-A91B-D30BC214C129}" name="Score Change">
      <calculatedColumnFormula>L2-K2</calculatedColumnFormula>
    </tableColumn>
    <tableColumn id="15" xr3:uid="{6FA944B2-2F42-4102-8B73-6BB9F60DDB4F}" name="Attendance Rate" dataDxfId="6">
      <calculatedColumnFormula>J2/I2</calculatedColumnFormula>
    </tableColumn>
    <tableColumn id="16" xr3:uid="{02110B4D-C3A2-44FF-B2AD-62028CE01946}" name="Completion_Status">
      <calculatedColumnFormula>IF(P2&gt;=$T$15, "Completed", "Needs Follow-Up")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D525-3B8F-45D7-9A8E-BBDC75378D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AE07-03BD-4582-946B-ABD959CE9D87}">
  <dimension ref="A1:E7"/>
  <sheetViews>
    <sheetView workbookViewId="0">
      <selection activeCell="A3" sqref="A3:B6"/>
    </sheetView>
  </sheetViews>
  <sheetFormatPr defaultRowHeight="14.5" x14ac:dyDescent="0.35"/>
  <cols>
    <col min="1" max="1" width="15.1796875" bestFit="1" customWidth="1"/>
    <col min="2" max="2" width="15.6328125" bestFit="1" customWidth="1"/>
    <col min="3" max="3" width="17.90625" bestFit="1" customWidth="1"/>
    <col min="4" max="4" width="19.36328125" bestFit="1" customWidth="1"/>
    <col min="5" max="5" width="21.453125" bestFit="1" customWidth="1"/>
  </cols>
  <sheetData>
    <row r="1" spans="1:5" x14ac:dyDescent="0.35">
      <c r="A1" s="14" t="s">
        <v>4</v>
      </c>
      <c r="B1" t="s">
        <v>459</v>
      </c>
    </row>
    <row r="3" spans="1:5" x14ac:dyDescent="0.35">
      <c r="A3" s="14" t="s">
        <v>453</v>
      </c>
      <c r="B3" t="s">
        <v>455</v>
      </c>
      <c r="C3" t="s">
        <v>458</v>
      </c>
      <c r="D3" t="s">
        <v>456</v>
      </c>
      <c r="E3" t="s">
        <v>457</v>
      </c>
    </row>
    <row r="4" spans="1:5" x14ac:dyDescent="0.35">
      <c r="A4" s="15" t="s">
        <v>21</v>
      </c>
      <c r="B4" s="16">
        <v>57</v>
      </c>
      <c r="C4" s="12">
        <v>7025</v>
      </c>
      <c r="D4" s="4">
        <v>0.87675438596491218</v>
      </c>
      <c r="E4" s="10">
        <v>15.070175438596491</v>
      </c>
    </row>
    <row r="5" spans="1:5" x14ac:dyDescent="0.35">
      <c r="A5" s="15" t="s">
        <v>15</v>
      </c>
      <c r="B5" s="16">
        <v>86</v>
      </c>
      <c r="C5" s="12">
        <v>12745</v>
      </c>
      <c r="D5" s="4">
        <v>0.84718992248062019</v>
      </c>
      <c r="E5" s="10">
        <v>14.86046511627907</v>
      </c>
    </row>
    <row r="6" spans="1:5" x14ac:dyDescent="0.35">
      <c r="A6" s="15" t="s">
        <v>27</v>
      </c>
      <c r="B6" s="16">
        <v>57</v>
      </c>
      <c r="C6" s="12">
        <v>5650</v>
      </c>
      <c r="D6" s="4">
        <v>0.86038011695906413</v>
      </c>
      <c r="E6" s="10">
        <v>14.754385964912281</v>
      </c>
    </row>
    <row r="7" spans="1:5" x14ac:dyDescent="0.35">
      <c r="A7" s="15" t="s">
        <v>454</v>
      </c>
      <c r="B7" s="16">
        <v>200</v>
      </c>
      <c r="C7" s="12">
        <v>25420</v>
      </c>
      <c r="D7" s="4">
        <v>0.85937500000000056</v>
      </c>
      <c r="E7" s="16">
        <v>14.89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E9E3-DBD7-45E7-834F-FE0CFB8FA38D}">
  <dimension ref="A1:B6"/>
  <sheetViews>
    <sheetView tabSelected="1" workbookViewId="0">
      <selection activeCell="B14" sqref="B14"/>
    </sheetView>
  </sheetViews>
  <sheetFormatPr defaultRowHeight="14.5" x14ac:dyDescent="0.35"/>
  <cols>
    <col min="1" max="1" width="15.1796875" bestFit="1" customWidth="1"/>
    <col min="2" max="2" width="14.81640625" customWidth="1"/>
  </cols>
  <sheetData>
    <row r="1" spans="1:2" ht="44" customHeight="1" thickBot="1" x14ac:dyDescent="0.4">
      <c r="A1" s="17" t="s">
        <v>460</v>
      </c>
      <c r="B1" s="18"/>
    </row>
    <row r="2" spans="1:2" ht="15" thickTop="1" x14ac:dyDescent="0.35">
      <c r="A2" s="19" t="s">
        <v>3</v>
      </c>
      <c r="B2" s="20" t="s">
        <v>455</v>
      </c>
    </row>
    <row r="3" spans="1:2" x14ac:dyDescent="0.35">
      <c r="A3" s="21" t="s">
        <v>21</v>
      </c>
      <c r="B3" s="22">
        <v>57</v>
      </c>
    </row>
    <row r="4" spans="1:2" x14ac:dyDescent="0.35">
      <c r="A4" s="21" t="s">
        <v>15</v>
      </c>
      <c r="B4" s="22">
        <v>86</v>
      </c>
    </row>
    <row r="5" spans="1:2" ht="15" thickBot="1" x14ac:dyDescent="0.4">
      <c r="A5" s="23" t="s">
        <v>27</v>
      </c>
      <c r="B5" s="24">
        <v>57</v>
      </c>
    </row>
    <row r="6" spans="1:2" ht="15" thickTop="1" x14ac:dyDescent="0.35"/>
  </sheetData>
  <mergeCells count="1">
    <mergeCell ref="A1:B1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CAA2-0833-4F1E-AB04-204079DD741C}">
  <dimension ref="A1:T201"/>
  <sheetViews>
    <sheetView workbookViewId="0"/>
  </sheetViews>
  <sheetFormatPr defaultRowHeight="14.5" x14ac:dyDescent="0.35"/>
  <cols>
    <col min="1" max="1" width="14.7265625" customWidth="1"/>
    <col min="2" max="2" width="17.81640625" customWidth="1"/>
    <col min="3" max="3" width="16.7265625" customWidth="1"/>
    <col min="4" max="4" width="15.1796875" bestFit="1" customWidth="1"/>
    <col min="6" max="6" width="15" customWidth="1"/>
    <col min="7" max="7" width="12" bestFit="1" customWidth="1"/>
    <col min="8" max="8" width="15.08984375" bestFit="1" customWidth="1"/>
    <col min="9" max="9" width="17.36328125" customWidth="1"/>
    <col min="10" max="10" width="18.7265625" customWidth="1"/>
    <col min="11" max="11" width="11.08984375" customWidth="1"/>
    <col min="12" max="12" width="12" customWidth="1"/>
    <col min="13" max="13" width="13.54296875" customWidth="1"/>
    <col min="14" max="14" width="12.90625" customWidth="1"/>
    <col min="15" max="15" width="14.453125" customWidth="1"/>
    <col min="16" max="16" width="16.6328125" customWidth="1"/>
    <col min="17" max="17" width="18.81640625" customWidth="1"/>
    <col min="19" max="19" width="27.453125" bestFit="1" customWidth="1"/>
    <col min="20" max="20" width="9.90625" bestFit="1" customWidth="1"/>
  </cols>
  <sheetData>
    <row r="1" spans="1:20" ht="25.5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446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53</v>
      </c>
      <c r="P1" s="2" t="s">
        <v>54</v>
      </c>
      <c r="Q1" s="11" t="s">
        <v>444</v>
      </c>
      <c r="S1" s="2" t="s">
        <v>437</v>
      </c>
      <c r="T1" s="2" t="s">
        <v>438</v>
      </c>
    </row>
    <row r="2" spans="1:20" x14ac:dyDescent="0.35">
      <c r="A2" t="s">
        <v>13</v>
      </c>
      <c r="B2" t="s">
        <v>14</v>
      </c>
      <c r="C2" s="1">
        <v>46267</v>
      </c>
      <c r="D2" t="s">
        <v>15</v>
      </c>
      <c r="E2" t="s">
        <v>16</v>
      </c>
      <c r="F2" t="s">
        <v>17</v>
      </c>
      <c r="G2" t="s">
        <v>18</v>
      </c>
      <c r="H2" t="str">
        <f>_xlfn.XLOOKUP(G2,Staff_Lookup!$A$2:$A$7,Staff_Lookup!$B$2:$B$7,"Not Found")</f>
        <v>Rachel Morgan</v>
      </c>
      <c r="I2">
        <v>10</v>
      </c>
      <c r="J2">
        <v>9</v>
      </c>
      <c r="K2">
        <v>62</v>
      </c>
      <c r="L2">
        <v>81</v>
      </c>
      <c r="M2" s="3">
        <v>150</v>
      </c>
      <c r="N2">
        <v>5</v>
      </c>
      <c r="O2">
        <f t="shared" ref="O2:O33" si="0">L2-K2</f>
        <v>19</v>
      </c>
      <c r="P2" s="4">
        <f t="shared" ref="P2:P33" si="1">J2/I2</f>
        <v>0.9</v>
      </c>
      <c r="Q2" t="str">
        <f t="shared" ref="Q2:Q33" si="2">IF(P2&gt;=$T$15, "Completed", "Needs Follow-Up")</f>
        <v>Completed</v>
      </c>
      <c r="S2" t="s">
        <v>431</v>
      </c>
      <c r="T2" s="3">
        <f>SUM(M2:M201)</f>
        <v>25420</v>
      </c>
    </row>
    <row r="3" spans="1:20" x14ac:dyDescent="0.35">
      <c r="A3" t="s">
        <v>19</v>
      </c>
      <c r="B3" t="s">
        <v>20</v>
      </c>
      <c r="C3" s="1">
        <v>46268</v>
      </c>
      <c r="D3" t="s">
        <v>21</v>
      </c>
      <c r="E3" t="s">
        <v>22</v>
      </c>
      <c r="F3" t="s">
        <v>23</v>
      </c>
      <c r="G3" t="s">
        <v>24</v>
      </c>
      <c r="H3" t="str">
        <f>_xlfn.XLOOKUP(G3,Staff_Lookup!$A$2:$A$7,Staff_Lookup!$B$2:$B$7,"Not Found")</f>
        <v>Michael Brown</v>
      </c>
      <c r="I3">
        <v>10</v>
      </c>
      <c r="J3">
        <v>7</v>
      </c>
      <c r="K3">
        <v>58</v>
      </c>
      <c r="L3">
        <v>72</v>
      </c>
      <c r="M3" s="3">
        <v>125</v>
      </c>
      <c r="N3">
        <v>4</v>
      </c>
      <c r="O3">
        <f t="shared" si="0"/>
        <v>14</v>
      </c>
      <c r="P3" s="4">
        <f t="shared" si="1"/>
        <v>0.7</v>
      </c>
      <c r="Q3" t="str">
        <f t="shared" si="2"/>
        <v>Needs Follow-Up</v>
      </c>
      <c r="S3" t="s">
        <v>432</v>
      </c>
      <c r="T3" s="10">
        <f>AVERAGE(K2:K201)</f>
        <v>62.854999999999997</v>
      </c>
    </row>
    <row r="4" spans="1:20" x14ac:dyDescent="0.35">
      <c r="A4" t="s">
        <v>25</v>
      </c>
      <c r="B4" t="s">
        <v>26</v>
      </c>
      <c r="C4" s="1">
        <v>46269</v>
      </c>
      <c r="D4" t="s">
        <v>27</v>
      </c>
      <c r="E4" t="s">
        <v>28</v>
      </c>
      <c r="F4" t="s">
        <v>29</v>
      </c>
      <c r="G4" t="s">
        <v>30</v>
      </c>
      <c r="H4" t="str">
        <f>_xlfn.XLOOKUP(G4,Staff_Lookup!$A$2:$A$7,Staff_Lookup!$B$2:$B$7,"Not Found")</f>
        <v>Priya Patel</v>
      </c>
      <c r="I4">
        <v>8</v>
      </c>
      <c r="J4">
        <v>8</v>
      </c>
      <c r="K4">
        <v>67</v>
      </c>
      <c r="L4">
        <v>84</v>
      </c>
      <c r="M4" s="3">
        <v>100</v>
      </c>
      <c r="N4">
        <v>5</v>
      </c>
      <c r="O4">
        <f t="shared" si="0"/>
        <v>17</v>
      </c>
      <c r="P4" s="4">
        <f t="shared" si="1"/>
        <v>1</v>
      </c>
      <c r="Q4" t="str">
        <f t="shared" si="2"/>
        <v>Completed</v>
      </c>
      <c r="S4" t="s">
        <v>433</v>
      </c>
      <c r="T4">
        <f>MIN(L2:L201)</f>
        <v>55</v>
      </c>
    </row>
    <row r="5" spans="1:20" x14ac:dyDescent="0.35">
      <c r="A5" t="s">
        <v>31</v>
      </c>
      <c r="B5" t="s">
        <v>32</v>
      </c>
      <c r="C5" s="1">
        <v>46270</v>
      </c>
      <c r="D5" t="s">
        <v>15</v>
      </c>
      <c r="E5" t="s">
        <v>33</v>
      </c>
      <c r="F5" t="s">
        <v>23</v>
      </c>
      <c r="G5" t="s">
        <v>34</v>
      </c>
      <c r="H5" t="str">
        <f>_xlfn.XLOOKUP(G5,Staff_Lookup!$A$2:$A$7,Staff_Lookup!$B$2:$B$7,"Not Found")</f>
        <v>Carlos Martinez</v>
      </c>
      <c r="I5">
        <v>10</v>
      </c>
      <c r="J5">
        <v>6</v>
      </c>
      <c r="K5">
        <v>55</v>
      </c>
      <c r="L5">
        <v>70</v>
      </c>
      <c r="M5" s="3">
        <v>150</v>
      </c>
      <c r="N5">
        <v>3</v>
      </c>
      <c r="O5">
        <f t="shared" si="0"/>
        <v>15</v>
      </c>
      <c r="P5" s="4">
        <f t="shared" si="1"/>
        <v>0.6</v>
      </c>
      <c r="Q5" t="str">
        <f t="shared" si="2"/>
        <v>Needs Follow-Up</v>
      </c>
      <c r="S5" t="s">
        <v>434</v>
      </c>
      <c r="T5">
        <f>MAX(L2:L201)</f>
        <v>98</v>
      </c>
    </row>
    <row r="6" spans="1:20" x14ac:dyDescent="0.35">
      <c r="A6" t="s">
        <v>35</v>
      </c>
      <c r="B6" t="s">
        <v>36</v>
      </c>
      <c r="C6" s="1">
        <v>46273</v>
      </c>
      <c r="D6" t="s">
        <v>21</v>
      </c>
      <c r="E6" t="s">
        <v>16</v>
      </c>
      <c r="F6" t="s">
        <v>17</v>
      </c>
      <c r="G6" t="s">
        <v>18</v>
      </c>
      <c r="H6" t="str">
        <f>_xlfn.XLOOKUP(G6,Staff_Lookup!$A$2:$A$7,Staff_Lookup!$B$2:$B$7,"Not Found")</f>
        <v>Rachel Morgan</v>
      </c>
      <c r="I6">
        <v>10</v>
      </c>
      <c r="J6">
        <v>10</v>
      </c>
      <c r="K6">
        <v>64</v>
      </c>
      <c r="L6">
        <v>88</v>
      </c>
      <c r="M6" s="3">
        <v>125</v>
      </c>
      <c r="N6">
        <v>5</v>
      </c>
      <c r="O6">
        <f t="shared" si="0"/>
        <v>24</v>
      </c>
      <c r="P6" s="4">
        <f t="shared" si="1"/>
        <v>1</v>
      </c>
      <c r="Q6" t="str">
        <f t="shared" si="2"/>
        <v>Completed</v>
      </c>
      <c r="S6" t="s">
        <v>435</v>
      </c>
      <c r="T6">
        <f>COUNT(K1:K201)</f>
        <v>200</v>
      </c>
    </row>
    <row r="7" spans="1:20" x14ac:dyDescent="0.35">
      <c r="A7" t="s">
        <v>38</v>
      </c>
      <c r="B7" t="s">
        <v>37</v>
      </c>
      <c r="C7" s="1">
        <v>46274</v>
      </c>
      <c r="D7" t="s">
        <v>15</v>
      </c>
      <c r="E7" t="s">
        <v>22</v>
      </c>
      <c r="F7" t="s">
        <v>23</v>
      </c>
      <c r="G7" t="s">
        <v>24</v>
      </c>
      <c r="H7" t="str">
        <f>_xlfn.XLOOKUP(G7,Staff_Lookup!$A$2:$A$7,Staff_Lookup!$B$2:$B$7,"Not Found")</f>
        <v>Michael Brown</v>
      </c>
      <c r="I7">
        <v>10</v>
      </c>
      <c r="J7">
        <v>8</v>
      </c>
      <c r="K7">
        <v>65</v>
      </c>
      <c r="L7">
        <v>79</v>
      </c>
      <c r="M7" s="3">
        <v>120</v>
      </c>
      <c r="N7">
        <v>4</v>
      </c>
      <c r="O7">
        <f t="shared" si="0"/>
        <v>14</v>
      </c>
      <c r="P7" s="4">
        <f t="shared" si="1"/>
        <v>0.8</v>
      </c>
      <c r="Q7" t="str">
        <f t="shared" si="2"/>
        <v>Completed</v>
      </c>
      <c r="S7" t="s">
        <v>436</v>
      </c>
      <c r="T7">
        <f>COUNTA(B2:B201)</f>
        <v>200</v>
      </c>
    </row>
    <row r="8" spans="1:20" x14ac:dyDescent="0.35">
      <c r="A8" s="5" t="s">
        <v>39</v>
      </c>
      <c r="B8" s="6" t="s">
        <v>55</v>
      </c>
      <c r="C8" s="9">
        <v>46275</v>
      </c>
      <c r="D8" s="6" t="s">
        <v>15</v>
      </c>
      <c r="E8" s="6" t="s">
        <v>16</v>
      </c>
      <c r="F8" s="6" t="s">
        <v>17</v>
      </c>
      <c r="G8" s="5" t="s">
        <v>18</v>
      </c>
      <c r="H8" s="5" t="str">
        <f>_xlfn.XLOOKUP(G8,Staff_Lookup!$A$2:$A$7,Staff_Lookup!$B$2:$B$7,"Not Found")</f>
        <v>Rachel Morgan</v>
      </c>
      <c r="I8" s="7">
        <v>8</v>
      </c>
      <c r="J8" s="7">
        <v>8</v>
      </c>
      <c r="K8" s="7">
        <v>48</v>
      </c>
      <c r="L8" s="7">
        <v>55</v>
      </c>
      <c r="M8" s="8">
        <v>150</v>
      </c>
      <c r="N8" s="7">
        <v>3</v>
      </c>
      <c r="O8">
        <f t="shared" si="0"/>
        <v>7</v>
      </c>
      <c r="P8" s="4">
        <f t="shared" si="1"/>
        <v>1</v>
      </c>
      <c r="Q8" t="str">
        <f t="shared" si="2"/>
        <v>Completed</v>
      </c>
    </row>
    <row r="9" spans="1:20" ht="15" thickBot="1" x14ac:dyDescent="0.4">
      <c r="A9" s="5" t="s">
        <v>40</v>
      </c>
      <c r="B9" s="6" t="s">
        <v>56</v>
      </c>
      <c r="C9" s="9">
        <v>46275</v>
      </c>
      <c r="D9" s="6" t="s">
        <v>27</v>
      </c>
      <c r="E9" s="6" t="s">
        <v>33</v>
      </c>
      <c r="F9" s="6" t="s">
        <v>23</v>
      </c>
      <c r="G9" s="5" t="s">
        <v>57</v>
      </c>
      <c r="H9" s="5" t="str">
        <f>_xlfn.XLOOKUP(G9,Staff_Lookup!$A$2:$A$7,Staff_Lookup!$B$2:$B$7,"Not Found")</f>
        <v>Ahmed Hassan</v>
      </c>
      <c r="I9" s="7">
        <v>10</v>
      </c>
      <c r="J9" s="7">
        <v>9</v>
      </c>
      <c r="K9" s="7">
        <v>59</v>
      </c>
      <c r="L9" s="7">
        <v>73</v>
      </c>
      <c r="M9" s="8">
        <v>100</v>
      </c>
      <c r="N9" s="7">
        <v>4</v>
      </c>
      <c r="O9">
        <f t="shared" si="0"/>
        <v>14</v>
      </c>
      <c r="P9" s="4">
        <f t="shared" si="1"/>
        <v>0.9</v>
      </c>
      <c r="Q9" t="str">
        <f t="shared" si="2"/>
        <v>Completed</v>
      </c>
      <c r="S9" s="2" t="s">
        <v>439</v>
      </c>
      <c r="T9" s="2" t="s">
        <v>438</v>
      </c>
    </row>
    <row r="10" spans="1:20" x14ac:dyDescent="0.35">
      <c r="A10" s="5" t="s">
        <v>41</v>
      </c>
      <c r="B10" s="6" t="s">
        <v>58</v>
      </c>
      <c r="C10" s="9">
        <v>46276</v>
      </c>
      <c r="D10" s="6" t="s">
        <v>21</v>
      </c>
      <c r="E10" s="6" t="s">
        <v>28</v>
      </c>
      <c r="F10" s="6" t="s">
        <v>29</v>
      </c>
      <c r="G10" s="5" t="s">
        <v>59</v>
      </c>
      <c r="H10" s="5" t="str">
        <f>_xlfn.XLOOKUP(G10,Staff_Lookup!$A$2:$A$7,Staff_Lookup!$B$2:$B$7,"Not Found")</f>
        <v>Jennifer Lee</v>
      </c>
      <c r="I10" s="7">
        <v>12</v>
      </c>
      <c r="J10" s="7">
        <v>10</v>
      </c>
      <c r="K10" s="7">
        <v>70</v>
      </c>
      <c r="L10" s="7">
        <v>91</v>
      </c>
      <c r="M10" s="8">
        <v>125</v>
      </c>
      <c r="N10" s="7">
        <v>4</v>
      </c>
      <c r="O10">
        <f t="shared" si="0"/>
        <v>21</v>
      </c>
      <c r="P10" s="4">
        <f t="shared" si="1"/>
        <v>0.83333333333333337</v>
      </c>
      <c r="Q10" t="str">
        <f t="shared" si="2"/>
        <v>Completed</v>
      </c>
      <c r="S10" t="s">
        <v>440</v>
      </c>
      <c r="T10">
        <f>COUNTIF(Q2:Q201, "Completed")</f>
        <v>145</v>
      </c>
    </row>
    <row r="11" spans="1:20" x14ac:dyDescent="0.35">
      <c r="A11" s="5" t="s">
        <v>42</v>
      </c>
      <c r="B11" s="6" t="s">
        <v>60</v>
      </c>
      <c r="C11" s="9">
        <v>46276</v>
      </c>
      <c r="D11" s="6" t="s">
        <v>15</v>
      </c>
      <c r="E11" s="6" t="s">
        <v>22</v>
      </c>
      <c r="F11" s="6" t="s">
        <v>17</v>
      </c>
      <c r="G11" s="5" t="s">
        <v>34</v>
      </c>
      <c r="H11" s="5" t="str">
        <f>_xlfn.XLOOKUP(G11,Staff_Lookup!$A$2:$A$7,Staff_Lookup!$B$2:$B$7,"Not Found")</f>
        <v>Carlos Martinez</v>
      </c>
      <c r="I11" s="7">
        <v>8</v>
      </c>
      <c r="J11" s="7">
        <v>5</v>
      </c>
      <c r="K11" s="7">
        <v>51</v>
      </c>
      <c r="L11" s="7">
        <v>60</v>
      </c>
      <c r="M11" s="8">
        <v>150</v>
      </c>
      <c r="N11" s="7">
        <v>3</v>
      </c>
      <c r="O11">
        <f t="shared" si="0"/>
        <v>9</v>
      </c>
      <c r="P11" s="4">
        <f t="shared" si="1"/>
        <v>0.625</v>
      </c>
      <c r="Q11" t="str">
        <f t="shared" si="2"/>
        <v>Needs Follow-Up</v>
      </c>
      <c r="S11" t="s">
        <v>441</v>
      </c>
      <c r="T11">
        <f>COUNTIF(Q2:Q201, "Needs Follow-Up")</f>
        <v>55</v>
      </c>
    </row>
    <row r="12" spans="1:20" x14ac:dyDescent="0.35">
      <c r="A12" s="5" t="s">
        <v>43</v>
      </c>
      <c r="B12" s="6" t="s">
        <v>61</v>
      </c>
      <c r="C12" s="9">
        <v>46277</v>
      </c>
      <c r="D12" s="6" t="s">
        <v>27</v>
      </c>
      <c r="E12" s="6" t="s">
        <v>16</v>
      </c>
      <c r="F12" s="6" t="s">
        <v>29</v>
      </c>
      <c r="G12" s="5" t="s">
        <v>30</v>
      </c>
      <c r="H12" s="5" t="str">
        <f>_xlfn.XLOOKUP(G12,Staff_Lookup!$A$2:$A$7,Staff_Lookup!$B$2:$B$7,"Not Found")</f>
        <v>Priya Patel</v>
      </c>
      <c r="I12" s="7">
        <v>10</v>
      </c>
      <c r="J12" s="7">
        <v>10</v>
      </c>
      <c r="K12" s="7">
        <v>62</v>
      </c>
      <c r="L12" s="7">
        <v>78</v>
      </c>
      <c r="M12" s="8">
        <v>100</v>
      </c>
      <c r="N12" s="7">
        <v>4</v>
      </c>
      <c r="O12">
        <f t="shared" si="0"/>
        <v>16</v>
      </c>
      <c r="P12" s="4">
        <f t="shared" si="1"/>
        <v>1</v>
      </c>
      <c r="Q12" t="str">
        <f t="shared" si="2"/>
        <v>Completed</v>
      </c>
      <c r="S12" t="s">
        <v>442</v>
      </c>
      <c r="T12" s="12">
        <f>SUMIF(D2:D201, "Digital Skills", M2:M201)</f>
        <v>12745</v>
      </c>
    </row>
    <row r="13" spans="1:20" x14ac:dyDescent="0.35">
      <c r="A13" s="5" t="s">
        <v>44</v>
      </c>
      <c r="B13" s="6" t="s">
        <v>62</v>
      </c>
      <c r="C13" s="9">
        <v>46277</v>
      </c>
      <c r="D13" s="6" t="s">
        <v>21</v>
      </c>
      <c r="E13" s="6" t="s">
        <v>16</v>
      </c>
      <c r="F13" s="6" t="s">
        <v>17</v>
      </c>
      <c r="G13" s="5" t="s">
        <v>24</v>
      </c>
      <c r="H13" s="5" t="str">
        <f>_xlfn.XLOOKUP(G13,Staff_Lookup!$A$2:$A$7,Staff_Lookup!$B$2:$B$7,"Not Found")</f>
        <v>Michael Brown</v>
      </c>
      <c r="I13" s="7">
        <v>12</v>
      </c>
      <c r="J13" s="7">
        <v>11</v>
      </c>
      <c r="K13" s="7">
        <v>73</v>
      </c>
      <c r="L13" s="7">
        <v>96</v>
      </c>
      <c r="M13" s="8">
        <v>125</v>
      </c>
      <c r="N13" s="7">
        <v>4</v>
      </c>
      <c r="O13">
        <f t="shared" si="0"/>
        <v>23</v>
      </c>
      <c r="P13" s="4">
        <f t="shared" si="1"/>
        <v>0.91666666666666663</v>
      </c>
      <c r="Q13" t="str">
        <f t="shared" si="2"/>
        <v>Completed</v>
      </c>
      <c r="S13" t="s">
        <v>443</v>
      </c>
      <c r="T13" s="10">
        <f>AVERAGEIF(Q2:Q201,"Completed",N2:N201)</f>
        <v>3.8344827586206898</v>
      </c>
    </row>
    <row r="14" spans="1:20" x14ac:dyDescent="0.35">
      <c r="A14" s="5" t="s">
        <v>45</v>
      </c>
      <c r="B14" s="6" t="s">
        <v>63</v>
      </c>
      <c r="C14" s="9">
        <v>46278</v>
      </c>
      <c r="D14" s="6" t="s">
        <v>15</v>
      </c>
      <c r="E14" s="6" t="s">
        <v>33</v>
      </c>
      <c r="F14" s="6" t="s">
        <v>23</v>
      </c>
      <c r="G14" s="5" t="s">
        <v>18</v>
      </c>
      <c r="H14" s="5" t="str">
        <f>_xlfn.XLOOKUP(G14,Staff_Lookup!$A$2:$A$7,Staff_Lookup!$B$2:$B$7,"Not Found")</f>
        <v>Rachel Morgan</v>
      </c>
      <c r="I14" s="7">
        <v>10</v>
      </c>
      <c r="J14" s="7">
        <v>8</v>
      </c>
      <c r="K14" s="7">
        <v>54</v>
      </c>
      <c r="L14" s="7">
        <v>65</v>
      </c>
      <c r="M14" s="8">
        <v>150</v>
      </c>
      <c r="N14" s="7">
        <v>3</v>
      </c>
      <c r="O14">
        <f t="shared" si="0"/>
        <v>11</v>
      </c>
      <c r="P14" s="4">
        <f t="shared" si="1"/>
        <v>0.8</v>
      </c>
      <c r="Q14" t="str">
        <f t="shared" si="2"/>
        <v>Completed</v>
      </c>
    </row>
    <row r="15" spans="1:20" x14ac:dyDescent="0.35">
      <c r="A15" s="5" t="s">
        <v>46</v>
      </c>
      <c r="B15" s="6" t="s">
        <v>64</v>
      </c>
      <c r="C15" s="9">
        <v>46278</v>
      </c>
      <c r="D15" s="6" t="s">
        <v>15</v>
      </c>
      <c r="E15" s="6" t="s">
        <v>28</v>
      </c>
      <c r="F15" s="6" t="s">
        <v>29</v>
      </c>
      <c r="G15" s="5" t="s">
        <v>57</v>
      </c>
      <c r="H15" s="5" t="str">
        <f>_xlfn.XLOOKUP(G15,Staff_Lookup!$A$2:$A$7,Staff_Lookup!$B$2:$B$7,"Not Found")</f>
        <v>Ahmed Hassan</v>
      </c>
      <c r="I15" s="7">
        <v>12</v>
      </c>
      <c r="J15" s="7">
        <v>9</v>
      </c>
      <c r="K15" s="7">
        <v>65</v>
      </c>
      <c r="L15" s="7">
        <v>83</v>
      </c>
      <c r="M15" s="8">
        <v>150</v>
      </c>
      <c r="N15" s="7">
        <v>3</v>
      </c>
      <c r="O15">
        <f t="shared" si="0"/>
        <v>18</v>
      </c>
      <c r="P15" s="4">
        <f t="shared" si="1"/>
        <v>0.75</v>
      </c>
      <c r="Q15" t="str">
        <f t="shared" si="2"/>
        <v>Needs Follow-Up</v>
      </c>
      <c r="S15" t="s">
        <v>445</v>
      </c>
      <c r="T15" s="4">
        <v>0.8</v>
      </c>
    </row>
    <row r="16" spans="1:20" x14ac:dyDescent="0.35">
      <c r="A16" s="5" t="s">
        <v>47</v>
      </c>
      <c r="B16" s="6" t="s">
        <v>65</v>
      </c>
      <c r="C16" s="9">
        <v>46279</v>
      </c>
      <c r="D16" s="6" t="s">
        <v>27</v>
      </c>
      <c r="E16" s="6" t="s">
        <v>22</v>
      </c>
      <c r="F16" s="6" t="s">
        <v>23</v>
      </c>
      <c r="G16" s="5" t="s">
        <v>59</v>
      </c>
      <c r="H16" s="5" t="str">
        <f>_xlfn.XLOOKUP(G16,Staff_Lookup!$A$2:$A$7,Staff_Lookup!$B$2:$B$7,"Not Found")</f>
        <v>Jennifer Lee</v>
      </c>
      <c r="I16" s="7">
        <v>8</v>
      </c>
      <c r="J16" s="7">
        <v>8</v>
      </c>
      <c r="K16" s="7">
        <v>76</v>
      </c>
      <c r="L16" s="7">
        <v>83</v>
      </c>
      <c r="M16" s="8">
        <v>100</v>
      </c>
      <c r="N16" s="7">
        <v>4</v>
      </c>
      <c r="O16">
        <f t="shared" si="0"/>
        <v>7</v>
      </c>
      <c r="P16" s="4">
        <f t="shared" si="1"/>
        <v>1</v>
      </c>
      <c r="Q16" t="str">
        <f t="shared" si="2"/>
        <v>Completed</v>
      </c>
    </row>
    <row r="17" spans="1:17" x14ac:dyDescent="0.35">
      <c r="A17" s="5" t="s">
        <v>48</v>
      </c>
      <c r="B17" s="6" t="s">
        <v>66</v>
      </c>
      <c r="C17" s="9">
        <v>46279</v>
      </c>
      <c r="D17" s="6" t="s">
        <v>21</v>
      </c>
      <c r="E17" s="6" t="s">
        <v>16</v>
      </c>
      <c r="F17" s="6" t="s">
        <v>29</v>
      </c>
      <c r="G17" s="5" t="s">
        <v>59</v>
      </c>
      <c r="H17" s="5" t="str">
        <f>_xlfn.XLOOKUP(G17,Staff_Lookup!$A$2:$A$7,Staff_Lookup!$B$2:$B$7,"Not Found")</f>
        <v>Jennifer Lee</v>
      </c>
      <c r="I17" s="7">
        <v>10</v>
      </c>
      <c r="J17" s="7">
        <v>9</v>
      </c>
      <c r="K17" s="7">
        <v>57</v>
      </c>
      <c r="L17" s="7">
        <v>71</v>
      </c>
      <c r="M17" s="8">
        <v>125</v>
      </c>
      <c r="N17" s="7">
        <v>4</v>
      </c>
      <c r="O17">
        <f t="shared" si="0"/>
        <v>14</v>
      </c>
      <c r="P17" s="4">
        <f t="shared" si="1"/>
        <v>0.9</v>
      </c>
      <c r="Q17" t="str">
        <f t="shared" si="2"/>
        <v>Completed</v>
      </c>
    </row>
    <row r="18" spans="1:17" x14ac:dyDescent="0.35">
      <c r="A18" s="5" t="s">
        <v>49</v>
      </c>
      <c r="B18" s="6" t="s">
        <v>67</v>
      </c>
      <c r="C18" s="9">
        <v>46280</v>
      </c>
      <c r="D18" s="6" t="s">
        <v>15</v>
      </c>
      <c r="E18" s="6" t="s">
        <v>16</v>
      </c>
      <c r="F18" s="6" t="s">
        <v>17</v>
      </c>
      <c r="G18" s="5" t="s">
        <v>34</v>
      </c>
      <c r="H18" s="5" t="str">
        <f>_xlfn.XLOOKUP(G18,Staff_Lookup!$A$2:$A$7,Staff_Lookup!$B$2:$B$7,"Not Found")</f>
        <v>Carlos Martinez</v>
      </c>
      <c r="I18" s="7">
        <v>12</v>
      </c>
      <c r="J18" s="7">
        <v>10</v>
      </c>
      <c r="K18" s="7">
        <v>68</v>
      </c>
      <c r="L18" s="7">
        <v>89</v>
      </c>
      <c r="M18" s="8">
        <v>125</v>
      </c>
      <c r="N18" s="7">
        <v>4</v>
      </c>
      <c r="O18">
        <f t="shared" si="0"/>
        <v>21</v>
      </c>
      <c r="P18" s="4">
        <f t="shared" si="1"/>
        <v>0.83333333333333337</v>
      </c>
      <c r="Q18" t="str">
        <f t="shared" si="2"/>
        <v>Completed</v>
      </c>
    </row>
    <row r="19" spans="1:17" x14ac:dyDescent="0.35">
      <c r="A19" s="5" t="s">
        <v>50</v>
      </c>
      <c r="B19" s="6" t="s">
        <v>68</v>
      </c>
      <c r="C19" s="9">
        <v>46280</v>
      </c>
      <c r="D19" s="6" t="s">
        <v>27</v>
      </c>
      <c r="E19" s="6" t="s">
        <v>33</v>
      </c>
      <c r="F19" s="6" t="s">
        <v>23</v>
      </c>
      <c r="G19" s="5" t="s">
        <v>30</v>
      </c>
      <c r="H19" s="5" t="str">
        <f>_xlfn.XLOOKUP(G19,Staff_Lookup!$A$2:$A$7,Staff_Lookup!$B$2:$B$7,"Not Found")</f>
        <v>Priya Patel</v>
      </c>
      <c r="I19" s="7">
        <v>8</v>
      </c>
      <c r="J19" s="7">
        <v>8</v>
      </c>
      <c r="K19" s="7">
        <v>48</v>
      </c>
      <c r="L19" s="7">
        <v>57</v>
      </c>
      <c r="M19" s="8">
        <v>100</v>
      </c>
      <c r="N19" s="7">
        <v>3</v>
      </c>
      <c r="O19">
        <f t="shared" si="0"/>
        <v>9</v>
      </c>
      <c r="P19" s="4">
        <f t="shared" si="1"/>
        <v>1</v>
      </c>
      <c r="Q19" t="str">
        <f t="shared" si="2"/>
        <v>Completed</v>
      </c>
    </row>
    <row r="20" spans="1:17" x14ac:dyDescent="0.35">
      <c r="A20" s="5" t="s">
        <v>51</v>
      </c>
      <c r="B20" s="6" t="s">
        <v>69</v>
      </c>
      <c r="C20" s="9">
        <v>46281</v>
      </c>
      <c r="D20" s="6" t="s">
        <v>21</v>
      </c>
      <c r="E20" s="6" t="s">
        <v>28</v>
      </c>
      <c r="F20" s="6" t="s">
        <v>17</v>
      </c>
      <c r="G20" s="5" t="s">
        <v>24</v>
      </c>
      <c r="H20" s="5" t="str">
        <f>_xlfn.XLOOKUP(G20,Staff_Lookup!$A$2:$A$7,Staff_Lookup!$B$2:$B$7,"Not Found")</f>
        <v>Michael Brown</v>
      </c>
      <c r="I20" s="7">
        <v>12</v>
      </c>
      <c r="J20" s="7">
        <v>11</v>
      </c>
      <c r="K20" s="7">
        <v>60</v>
      </c>
      <c r="L20" s="7">
        <v>76</v>
      </c>
      <c r="M20" s="8">
        <v>125</v>
      </c>
      <c r="N20" s="7">
        <v>4</v>
      </c>
      <c r="O20">
        <f t="shared" si="0"/>
        <v>16</v>
      </c>
      <c r="P20" s="4">
        <f t="shared" si="1"/>
        <v>0.91666666666666663</v>
      </c>
      <c r="Q20" t="str">
        <f t="shared" si="2"/>
        <v>Completed</v>
      </c>
    </row>
    <row r="21" spans="1:17" x14ac:dyDescent="0.35">
      <c r="A21" s="5" t="s">
        <v>52</v>
      </c>
      <c r="B21" s="6" t="s">
        <v>70</v>
      </c>
      <c r="C21" s="9">
        <v>46281</v>
      </c>
      <c r="D21" s="6" t="s">
        <v>15</v>
      </c>
      <c r="E21" s="6" t="s">
        <v>22</v>
      </c>
      <c r="F21" s="6" t="s">
        <v>23</v>
      </c>
      <c r="G21" s="5" t="s">
        <v>18</v>
      </c>
      <c r="H21" s="5" t="str">
        <f>_xlfn.XLOOKUP(G21,Staff_Lookup!$A$2:$A$7,Staff_Lookup!$B$2:$B$7,"Not Found")</f>
        <v>Rachel Morgan</v>
      </c>
      <c r="I21" s="7">
        <v>8</v>
      </c>
      <c r="J21" s="7">
        <v>6</v>
      </c>
      <c r="K21" s="7">
        <v>71</v>
      </c>
      <c r="L21" s="7">
        <v>94</v>
      </c>
      <c r="M21" s="8">
        <v>150</v>
      </c>
      <c r="N21" s="7">
        <v>4</v>
      </c>
      <c r="O21">
        <f t="shared" si="0"/>
        <v>23</v>
      </c>
      <c r="P21" s="4">
        <f t="shared" si="1"/>
        <v>0.75</v>
      </c>
      <c r="Q21" t="str">
        <f t="shared" si="2"/>
        <v>Needs Follow-Up</v>
      </c>
    </row>
    <row r="22" spans="1:17" x14ac:dyDescent="0.35">
      <c r="A22" s="5" t="s">
        <v>71</v>
      </c>
      <c r="B22" s="6" t="s">
        <v>72</v>
      </c>
      <c r="C22" s="9">
        <v>46282</v>
      </c>
      <c r="D22" s="6" t="s">
        <v>15</v>
      </c>
      <c r="E22" s="6" t="s">
        <v>16</v>
      </c>
      <c r="F22" s="6" t="s">
        <v>29</v>
      </c>
      <c r="G22" s="5" t="s">
        <v>57</v>
      </c>
      <c r="H22" s="5" t="str">
        <f>_xlfn.XLOOKUP(G22,Staff_Lookup!$A$2:$A$7,Staff_Lookup!$B$2:$B$7,"Not Found")</f>
        <v>Ahmed Hassan</v>
      </c>
      <c r="I22" s="7">
        <v>10</v>
      </c>
      <c r="J22" s="7">
        <v>7</v>
      </c>
      <c r="K22" s="7">
        <v>51</v>
      </c>
      <c r="L22" s="7">
        <v>62</v>
      </c>
      <c r="M22" s="8">
        <v>150</v>
      </c>
      <c r="N22" s="7">
        <v>2</v>
      </c>
      <c r="O22">
        <f t="shared" si="0"/>
        <v>11</v>
      </c>
      <c r="P22" s="4">
        <f t="shared" si="1"/>
        <v>0.7</v>
      </c>
      <c r="Q22" t="str">
        <f t="shared" si="2"/>
        <v>Needs Follow-Up</v>
      </c>
    </row>
    <row r="23" spans="1:17" x14ac:dyDescent="0.35">
      <c r="A23" s="5" t="s">
        <v>73</v>
      </c>
      <c r="B23" s="6" t="s">
        <v>74</v>
      </c>
      <c r="C23" s="9">
        <v>46282</v>
      </c>
      <c r="D23" s="6" t="s">
        <v>27</v>
      </c>
      <c r="E23" s="6" t="s">
        <v>16</v>
      </c>
      <c r="F23" s="6" t="s">
        <v>17</v>
      </c>
      <c r="G23" s="5" t="s">
        <v>59</v>
      </c>
      <c r="H23" s="5" t="str">
        <f>_xlfn.XLOOKUP(G23,Staff_Lookup!$A$2:$A$7,Staff_Lookup!$B$2:$B$7,"Not Found")</f>
        <v>Jennifer Lee</v>
      </c>
      <c r="I23" s="7">
        <v>12</v>
      </c>
      <c r="J23" s="7">
        <v>12</v>
      </c>
      <c r="K23" s="7">
        <v>63</v>
      </c>
      <c r="L23" s="7">
        <v>81</v>
      </c>
      <c r="M23" s="8">
        <v>100</v>
      </c>
      <c r="N23" s="7">
        <v>4</v>
      </c>
      <c r="O23">
        <f t="shared" si="0"/>
        <v>18</v>
      </c>
      <c r="P23" s="4">
        <f t="shared" si="1"/>
        <v>1</v>
      </c>
      <c r="Q23" t="str">
        <f t="shared" si="2"/>
        <v>Completed</v>
      </c>
    </row>
    <row r="24" spans="1:17" x14ac:dyDescent="0.35">
      <c r="A24" s="5" t="s">
        <v>75</v>
      </c>
      <c r="B24" s="6" t="s">
        <v>76</v>
      </c>
      <c r="C24" s="9">
        <v>46283</v>
      </c>
      <c r="D24" s="6" t="s">
        <v>21</v>
      </c>
      <c r="E24" s="6" t="s">
        <v>33</v>
      </c>
      <c r="F24" s="6" t="s">
        <v>29</v>
      </c>
      <c r="G24" s="5" t="s">
        <v>34</v>
      </c>
      <c r="H24" s="5" t="str">
        <f>_xlfn.XLOOKUP(G24,Staff_Lookup!$A$2:$A$7,Staff_Lookup!$B$2:$B$7,"Not Found")</f>
        <v>Carlos Martinez</v>
      </c>
      <c r="I24" s="7">
        <v>8</v>
      </c>
      <c r="J24" s="7">
        <v>7</v>
      </c>
      <c r="K24" s="7">
        <v>74</v>
      </c>
      <c r="L24" s="7">
        <v>81</v>
      </c>
      <c r="M24" s="8">
        <v>125</v>
      </c>
      <c r="N24" s="7">
        <v>3</v>
      </c>
      <c r="O24">
        <f t="shared" si="0"/>
        <v>7</v>
      </c>
      <c r="P24" s="4">
        <f t="shared" si="1"/>
        <v>0.875</v>
      </c>
      <c r="Q24" t="str">
        <f t="shared" si="2"/>
        <v>Completed</v>
      </c>
    </row>
    <row r="25" spans="1:17" x14ac:dyDescent="0.35">
      <c r="A25" s="5" t="s">
        <v>77</v>
      </c>
      <c r="B25" s="6" t="s">
        <v>78</v>
      </c>
      <c r="C25" s="9">
        <v>46283</v>
      </c>
      <c r="D25" s="6" t="s">
        <v>15</v>
      </c>
      <c r="E25" s="6" t="s">
        <v>28</v>
      </c>
      <c r="F25" s="6" t="s">
        <v>17</v>
      </c>
      <c r="G25" s="5" t="s">
        <v>30</v>
      </c>
      <c r="H25" s="5" t="str">
        <f>_xlfn.XLOOKUP(G25,Staff_Lookup!$A$2:$A$7,Staff_Lookup!$B$2:$B$7,"Not Found")</f>
        <v>Priya Patel</v>
      </c>
      <c r="I25" s="7">
        <v>10</v>
      </c>
      <c r="J25" s="7">
        <v>8</v>
      </c>
      <c r="K25" s="7">
        <v>54</v>
      </c>
      <c r="L25" s="7">
        <v>68</v>
      </c>
      <c r="M25" s="8">
        <v>150</v>
      </c>
      <c r="N25" s="7">
        <v>4</v>
      </c>
      <c r="O25">
        <f t="shared" si="0"/>
        <v>14</v>
      </c>
      <c r="P25" s="4">
        <f t="shared" si="1"/>
        <v>0.8</v>
      </c>
      <c r="Q25" t="str">
        <f t="shared" si="2"/>
        <v>Completed</v>
      </c>
    </row>
    <row r="26" spans="1:17" x14ac:dyDescent="0.35">
      <c r="A26" s="5" t="s">
        <v>79</v>
      </c>
      <c r="B26" s="6" t="s">
        <v>80</v>
      </c>
      <c r="C26" s="9">
        <v>46284</v>
      </c>
      <c r="D26" s="6" t="s">
        <v>27</v>
      </c>
      <c r="E26" s="6" t="s">
        <v>22</v>
      </c>
      <c r="F26" s="6" t="s">
        <v>23</v>
      </c>
      <c r="G26" s="5" t="s">
        <v>30</v>
      </c>
      <c r="H26" s="5" t="str">
        <f>_xlfn.XLOOKUP(G26,Staff_Lookup!$A$2:$A$7,Staff_Lookup!$B$2:$B$7,"Not Found")</f>
        <v>Priya Patel</v>
      </c>
      <c r="I26" s="7">
        <v>8</v>
      </c>
      <c r="J26" s="7">
        <v>5</v>
      </c>
      <c r="K26" s="7">
        <v>66</v>
      </c>
      <c r="L26" s="7">
        <v>87</v>
      </c>
      <c r="M26" s="8">
        <v>100</v>
      </c>
      <c r="N26" s="7">
        <v>4</v>
      </c>
      <c r="O26">
        <f t="shared" si="0"/>
        <v>21</v>
      </c>
      <c r="P26" s="4">
        <f t="shared" si="1"/>
        <v>0.625</v>
      </c>
      <c r="Q26" t="str">
        <f t="shared" si="2"/>
        <v>Needs Follow-Up</v>
      </c>
    </row>
    <row r="27" spans="1:17" x14ac:dyDescent="0.35">
      <c r="A27" s="5" t="s">
        <v>81</v>
      </c>
      <c r="B27" s="6" t="s">
        <v>82</v>
      </c>
      <c r="C27" s="9">
        <v>46284</v>
      </c>
      <c r="D27" s="6" t="s">
        <v>21</v>
      </c>
      <c r="E27" s="6" t="s">
        <v>16</v>
      </c>
      <c r="F27" s="6" t="s">
        <v>29</v>
      </c>
      <c r="G27" s="5" t="s">
        <v>24</v>
      </c>
      <c r="H27" s="5" t="str">
        <f>_xlfn.XLOOKUP(G27,Staff_Lookup!$A$2:$A$7,Staff_Lookup!$B$2:$B$7,"Not Found")</f>
        <v>Michael Brown</v>
      </c>
      <c r="I27" s="7">
        <v>10</v>
      </c>
      <c r="J27" s="7">
        <v>10</v>
      </c>
      <c r="K27" s="7">
        <v>77</v>
      </c>
      <c r="L27" s="7">
        <v>86</v>
      </c>
      <c r="M27" s="8">
        <v>125</v>
      </c>
      <c r="N27" s="7">
        <v>3</v>
      </c>
      <c r="O27">
        <f t="shared" si="0"/>
        <v>9</v>
      </c>
      <c r="P27" s="4">
        <f t="shared" si="1"/>
        <v>1</v>
      </c>
      <c r="Q27" t="str">
        <f t="shared" si="2"/>
        <v>Completed</v>
      </c>
    </row>
    <row r="28" spans="1:17" x14ac:dyDescent="0.35">
      <c r="A28" s="5" t="s">
        <v>83</v>
      </c>
      <c r="B28" s="6" t="s">
        <v>84</v>
      </c>
      <c r="C28" s="9">
        <v>46285</v>
      </c>
      <c r="D28" s="6" t="s">
        <v>15</v>
      </c>
      <c r="E28" s="6" t="s">
        <v>16</v>
      </c>
      <c r="F28" s="6" t="s">
        <v>23</v>
      </c>
      <c r="G28" s="5" t="s">
        <v>18</v>
      </c>
      <c r="H28" s="5" t="str">
        <f>_xlfn.XLOOKUP(G28,Staff_Lookup!$A$2:$A$7,Staff_Lookup!$B$2:$B$7,"Not Found")</f>
        <v>Rachel Morgan</v>
      </c>
      <c r="I28" s="7">
        <v>12</v>
      </c>
      <c r="J28" s="7">
        <v>11</v>
      </c>
      <c r="K28" s="7">
        <v>57</v>
      </c>
      <c r="L28" s="7">
        <v>73</v>
      </c>
      <c r="M28" s="8">
        <v>150</v>
      </c>
      <c r="N28" s="7">
        <v>4</v>
      </c>
      <c r="O28">
        <f t="shared" si="0"/>
        <v>16</v>
      </c>
      <c r="P28" s="4">
        <f t="shared" si="1"/>
        <v>0.91666666666666663</v>
      </c>
      <c r="Q28" t="str">
        <f t="shared" si="2"/>
        <v>Completed</v>
      </c>
    </row>
    <row r="29" spans="1:17" x14ac:dyDescent="0.35">
      <c r="A29" s="5" t="s">
        <v>85</v>
      </c>
      <c r="B29" s="6" t="s">
        <v>86</v>
      </c>
      <c r="C29" s="9">
        <v>46285</v>
      </c>
      <c r="D29" s="6" t="s">
        <v>15</v>
      </c>
      <c r="E29" s="6" t="s">
        <v>33</v>
      </c>
      <c r="F29" s="6" t="s">
        <v>29</v>
      </c>
      <c r="G29" s="5" t="s">
        <v>57</v>
      </c>
      <c r="H29" s="5" t="str">
        <f>_xlfn.XLOOKUP(G29,Staff_Lookup!$A$2:$A$7,Staff_Lookup!$B$2:$B$7,"Not Found")</f>
        <v>Ahmed Hassan</v>
      </c>
      <c r="I29" s="7">
        <v>8</v>
      </c>
      <c r="J29" s="7">
        <v>6</v>
      </c>
      <c r="K29" s="7">
        <v>69</v>
      </c>
      <c r="L29" s="7">
        <v>92</v>
      </c>
      <c r="M29" s="8">
        <v>150</v>
      </c>
      <c r="N29" s="7">
        <v>3</v>
      </c>
      <c r="O29">
        <f t="shared" si="0"/>
        <v>23</v>
      </c>
      <c r="P29" s="4">
        <f t="shared" si="1"/>
        <v>0.75</v>
      </c>
      <c r="Q29" t="str">
        <f t="shared" si="2"/>
        <v>Needs Follow-Up</v>
      </c>
    </row>
    <row r="30" spans="1:17" x14ac:dyDescent="0.35">
      <c r="A30" s="5" t="s">
        <v>87</v>
      </c>
      <c r="B30" s="6" t="s">
        <v>88</v>
      </c>
      <c r="C30" s="9">
        <v>46286</v>
      </c>
      <c r="D30" s="6" t="s">
        <v>27</v>
      </c>
      <c r="E30" s="6" t="s">
        <v>28</v>
      </c>
      <c r="F30" s="6" t="s">
        <v>17</v>
      </c>
      <c r="G30" s="5" t="s">
        <v>59</v>
      </c>
      <c r="H30" s="5" t="str">
        <f>_xlfn.XLOOKUP(G30,Staff_Lookup!$A$2:$A$7,Staff_Lookup!$B$2:$B$7,"Not Found")</f>
        <v>Jennifer Lee</v>
      </c>
      <c r="I30" s="7">
        <v>10</v>
      </c>
      <c r="J30" s="7">
        <v>10</v>
      </c>
      <c r="K30" s="7">
        <v>49</v>
      </c>
      <c r="L30" s="7">
        <v>60</v>
      </c>
      <c r="M30" s="8">
        <v>100</v>
      </c>
      <c r="N30" s="7">
        <v>3</v>
      </c>
      <c r="O30">
        <f t="shared" si="0"/>
        <v>11</v>
      </c>
      <c r="P30" s="4">
        <f t="shared" si="1"/>
        <v>1</v>
      </c>
      <c r="Q30" t="str">
        <f t="shared" si="2"/>
        <v>Completed</v>
      </c>
    </row>
    <row r="31" spans="1:17" x14ac:dyDescent="0.35">
      <c r="A31" s="5" t="s">
        <v>89</v>
      </c>
      <c r="B31" s="6" t="s">
        <v>90</v>
      </c>
      <c r="C31" s="9">
        <v>46286</v>
      </c>
      <c r="D31" s="6" t="s">
        <v>21</v>
      </c>
      <c r="E31" s="6" t="s">
        <v>22</v>
      </c>
      <c r="F31" s="6" t="s">
        <v>23</v>
      </c>
      <c r="G31" s="5" t="s">
        <v>34</v>
      </c>
      <c r="H31" s="5" t="str">
        <f>_xlfn.XLOOKUP(G31,Staff_Lookup!$A$2:$A$7,Staff_Lookup!$B$2:$B$7,"Not Found")</f>
        <v>Carlos Martinez</v>
      </c>
      <c r="I31" s="7">
        <v>12</v>
      </c>
      <c r="J31" s="7">
        <v>11</v>
      </c>
      <c r="K31" s="7">
        <v>60</v>
      </c>
      <c r="L31" s="7">
        <v>78</v>
      </c>
      <c r="M31" s="8">
        <v>125</v>
      </c>
      <c r="N31" s="7">
        <v>5</v>
      </c>
      <c r="O31">
        <f t="shared" si="0"/>
        <v>18</v>
      </c>
      <c r="P31" s="4">
        <f t="shared" si="1"/>
        <v>0.91666666666666663</v>
      </c>
      <c r="Q31" t="str">
        <f t="shared" si="2"/>
        <v>Completed</v>
      </c>
    </row>
    <row r="32" spans="1:17" x14ac:dyDescent="0.35">
      <c r="A32" s="5" t="s">
        <v>91</v>
      </c>
      <c r="B32" s="6" t="s">
        <v>92</v>
      </c>
      <c r="C32" s="9">
        <v>46287</v>
      </c>
      <c r="D32" s="6" t="s">
        <v>15</v>
      </c>
      <c r="E32" s="6" t="s">
        <v>16</v>
      </c>
      <c r="F32" s="6" t="s">
        <v>17</v>
      </c>
      <c r="G32" s="5" t="s">
        <v>30</v>
      </c>
      <c r="H32" s="5" t="str">
        <f>_xlfn.XLOOKUP(G32,Staff_Lookup!$A$2:$A$7,Staff_Lookup!$B$2:$B$7,"Not Found")</f>
        <v>Priya Patel</v>
      </c>
      <c r="I32" s="7">
        <v>10</v>
      </c>
      <c r="J32" s="7">
        <v>8</v>
      </c>
      <c r="K32" s="7">
        <v>72</v>
      </c>
      <c r="L32" s="7">
        <v>79</v>
      </c>
      <c r="M32" s="8">
        <v>150</v>
      </c>
      <c r="N32" s="7">
        <v>3</v>
      </c>
      <c r="O32">
        <f t="shared" si="0"/>
        <v>7</v>
      </c>
      <c r="P32" s="4">
        <f t="shared" si="1"/>
        <v>0.8</v>
      </c>
      <c r="Q32" t="str">
        <f t="shared" si="2"/>
        <v>Completed</v>
      </c>
    </row>
    <row r="33" spans="1:17" x14ac:dyDescent="0.35">
      <c r="A33" s="5" t="s">
        <v>93</v>
      </c>
      <c r="B33" s="6" t="s">
        <v>94</v>
      </c>
      <c r="C33" s="9">
        <v>46287</v>
      </c>
      <c r="D33" s="6" t="s">
        <v>27</v>
      </c>
      <c r="E33" s="6" t="s">
        <v>16</v>
      </c>
      <c r="F33" s="6" t="s">
        <v>23</v>
      </c>
      <c r="G33" s="5" t="s">
        <v>24</v>
      </c>
      <c r="H33" s="5" t="str">
        <f>_xlfn.XLOOKUP(G33,Staff_Lookup!$A$2:$A$7,Staff_Lookup!$B$2:$B$7,"Not Found")</f>
        <v>Michael Brown</v>
      </c>
      <c r="I33" s="7">
        <v>12</v>
      </c>
      <c r="J33" s="7">
        <v>9</v>
      </c>
      <c r="K33" s="7">
        <v>52</v>
      </c>
      <c r="L33" s="7">
        <v>66</v>
      </c>
      <c r="M33" s="8">
        <v>100</v>
      </c>
      <c r="N33" s="7">
        <v>3</v>
      </c>
      <c r="O33">
        <f t="shared" si="0"/>
        <v>14</v>
      </c>
      <c r="P33" s="4">
        <f t="shared" si="1"/>
        <v>0.75</v>
      </c>
      <c r="Q33" t="str">
        <f t="shared" si="2"/>
        <v>Needs Follow-Up</v>
      </c>
    </row>
    <row r="34" spans="1:17" x14ac:dyDescent="0.35">
      <c r="A34" s="5" t="s">
        <v>95</v>
      </c>
      <c r="B34" s="6" t="s">
        <v>96</v>
      </c>
      <c r="C34" s="9">
        <v>46288</v>
      </c>
      <c r="D34" s="6" t="s">
        <v>21</v>
      </c>
      <c r="E34" s="6" t="s">
        <v>33</v>
      </c>
      <c r="F34" s="6" t="s">
        <v>29</v>
      </c>
      <c r="G34" s="5" t="s">
        <v>18</v>
      </c>
      <c r="H34" s="5" t="str">
        <f>_xlfn.XLOOKUP(G34,Staff_Lookup!$A$2:$A$7,Staff_Lookup!$B$2:$B$7,"Not Found")</f>
        <v>Rachel Morgan</v>
      </c>
      <c r="I34" s="7">
        <v>8</v>
      </c>
      <c r="J34" s="7">
        <v>8</v>
      </c>
      <c r="K34" s="7">
        <v>63</v>
      </c>
      <c r="L34" s="7">
        <v>84</v>
      </c>
      <c r="M34" s="8">
        <v>125</v>
      </c>
      <c r="N34" s="7">
        <v>4</v>
      </c>
      <c r="O34">
        <f t="shared" ref="O34:O65" si="3">L34-K34</f>
        <v>21</v>
      </c>
      <c r="P34" s="4">
        <f t="shared" ref="P34:P65" si="4">J34/I34</f>
        <v>1</v>
      </c>
      <c r="Q34" t="str">
        <f t="shared" ref="Q34:Q65" si="5">IF(P34&gt;=$T$15, "Completed", "Needs Follow-Up")</f>
        <v>Completed</v>
      </c>
    </row>
    <row r="35" spans="1:17" x14ac:dyDescent="0.35">
      <c r="A35" s="5" t="s">
        <v>97</v>
      </c>
      <c r="B35" s="6" t="s">
        <v>98</v>
      </c>
      <c r="C35" s="9">
        <v>46288</v>
      </c>
      <c r="D35" s="6" t="s">
        <v>15</v>
      </c>
      <c r="E35" s="6" t="s">
        <v>28</v>
      </c>
      <c r="F35" s="6" t="s">
        <v>17</v>
      </c>
      <c r="G35" s="5" t="s">
        <v>18</v>
      </c>
      <c r="H35" s="5" t="str">
        <f>_xlfn.XLOOKUP(G35,Staff_Lookup!$A$2:$A$7,Staff_Lookup!$B$2:$B$7,"Not Found")</f>
        <v>Rachel Morgan</v>
      </c>
      <c r="I35" s="7">
        <v>10</v>
      </c>
      <c r="J35" s="7">
        <v>9</v>
      </c>
      <c r="K35" s="7">
        <v>75</v>
      </c>
      <c r="L35" s="7">
        <v>84</v>
      </c>
      <c r="M35" s="8">
        <v>125</v>
      </c>
      <c r="N35" s="7">
        <v>3</v>
      </c>
      <c r="O35">
        <f t="shared" si="3"/>
        <v>9</v>
      </c>
      <c r="P35" s="4">
        <f t="shared" si="4"/>
        <v>0.9</v>
      </c>
      <c r="Q35" t="str">
        <f t="shared" si="5"/>
        <v>Completed</v>
      </c>
    </row>
    <row r="36" spans="1:17" x14ac:dyDescent="0.35">
      <c r="A36" s="5" t="s">
        <v>99</v>
      </c>
      <c r="B36" s="6" t="s">
        <v>100</v>
      </c>
      <c r="C36" s="9">
        <v>46289</v>
      </c>
      <c r="D36" s="6" t="s">
        <v>15</v>
      </c>
      <c r="E36" s="6" t="s">
        <v>22</v>
      </c>
      <c r="F36" s="6" t="s">
        <v>29</v>
      </c>
      <c r="G36" s="5" t="s">
        <v>57</v>
      </c>
      <c r="H36" s="5" t="str">
        <f>_xlfn.XLOOKUP(G36,Staff_Lookup!$A$2:$A$7,Staff_Lookup!$B$2:$B$7,"Not Found")</f>
        <v>Ahmed Hassan</v>
      </c>
      <c r="I36" s="7">
        <v>12</v>
      </c>
      <c r="J36" s="7">
        <v>10</v>
      </c>
      <c r="K36" s="7">
        <v>55</v>
      </c>
      <c r="L36" s="7">
        <v>71</v>
      </c>
      <c r="M36" s="8">
        <v>150</v>
      </c>
      <c r="N36" s="7">
        <v>5</v>
      </c>
      <c r="O36">
        <f t="shared" si="3"/>
        <v>16</v>
      </c>
      <c r="P36" s="4">
        <f t="shared" si="4"/>
        <v>0.83333333333333337</v>
      </c>
      <c r="Q36" t="str">
        <f t="shared" si="5"/>
        <v>Completed</v>
      </c>
    </row>
    <row r="37" spans="1:17" x14ac:dyDescent="0.35">
      <c r="A37" s="5" t="s">
        <v>101</v>
      </c>
      <c r="B37" s="6" t="s">
        <v>102</v>
      </c>
      <c r="C37" s="9">
        <v>46289</v>
      </c>
      <c r="D37" s="6" t="s">
        <v>27</v>
      </c>
      <c r="E37" s="6" t="s">
        <v>16</v>
      </c>
      <c r="F37" s="6" t="s">
        <v>17</v>
      </c>
      <c r="G37" s="5" t="s">
        <v>59</v>
      </c>
      <c r="H37" s="5" t="str">
        <f>_xlfn.XLOOKUP(G37,Staff_Lookup!$A$2:$A$7,Staff_Lookup!$B$2:$B$7,"Not Found")</f>
        <v>Jennifer Lee</v>
      </c>
      <c r="I37" s="7">
        <v>8</v>
      </c>
      <c r="J37" s="7">
        <v>5</v>
      </c>
      <c r="K37" s="7">
        <v>66</v>
      </c>
      <c r="L37" s="7">
        <v>89</v>
      </c>
      <c r="M37" s="8">
        <v>100</v>
      </c>
      <c r="N37" s="7">
        <v>3</v>
      </c>
      <c r="O37">
        <f t="shared" si="3"/>
        <v>23</v>
      </c>
      <c r="P37" s="4">
        <f t="shared" si="4"/>
        <v>0.625</v>
      </c>
      <c r="Q37" t="str">
        <f t="shared" si="5"/>
        <v>Needs Follow-Up</v>
      </c>
    </row>
    <row r="38" spans="1:17" x14ac:dyDescent="0.35">
      <c r="A38" s="5" t="s">
        <v>103</v>
      </c>
      <c r="B38" s="6" t="s">
        <v>104</v>
      </c>
      <c r="C38" s="9">
        <v>46290</v>
      </c>
      <c r="D38" s="6" t="s">
        <v>21</v>
      </c>
      <c r="E38" s="6" t="s">
        <v>16</v>
      </c>
      <c r="F38" s="6" t="s">
        <v>23</v>
      </c>
      <c r="G38" s="5" t="s">
        <v>34</v>
      </c>
      <c r="H38" s="5" t="str">
        <f>_xlfn.XLOOKUP(G38,Staff_Lookup!$A$2:$A$7,Staff_Lookup!$B$2:$B$7,"Not Found")</f>
        <v>Carlos Martinez</v>
      </c>
      <c r="I38" s="7">
        <v>12</v>
      </c>
      <c r="J38" s="7">
        <v>12</v>
      </c>
      <c r="K38" s="7">
        <v>78</v>
      </c>
      <c r="L38" s="7">
        <v>89</v>
      </c>
      <c r="M38" s="8">
        <v>125</v>
      </c>
      <c r="N38" s="7">
        <v>3</v>
      </c>
      <c r="O38">
        <f t="shared" si="3"/>
        <v>11</v>
      </c>
      <c r="P38" s="4">
        <f t="shared" si="4"/>
        <v>1</v>
      </c>
      <c r="Q38" t="str">
        <f t="shared" si="5"/>
        <v>Completed</v>
      </c>
    </row>
    <row r="39" spans="1:17" x14ac:dyDescent="0.35">
      <c r="A39" s="5" t="s">
        <v>105</v>
      </c>
      <c r="B39" s="6" t="s">
        <v>106</v>
      </c>
      <c r="C39" s="9">
        <v>46290</v>
      </c>
      <c r="D39" s="6" t="s">
        <v>15</v>
      </c>
      <c r="E39" s="6" t="s">
        <v>33</v>
      </c>
      <c r="F39" s="6" t="s">
        <v>29</v>
      </c>
      <c r="G39" s="5" t="s">
        <v>30</v>
      </c>
      <c r="H39" s="5" t="str">
        <f>_xlfn.XLOOKUP(G39,Staff_Lookup!$A$2:$A$7,Staff_Lookup!$B$2:$B$7,"Not Found")</f>
        <v>Priya Patel</v>
      </c>
      <c r="I39" s="7">
        <v>8</v>
      </c>
      <c r="J39" s="7">
        <v>7</v>
      </c>
      <c r="K39" s="7">
        <v>58</v>
      </c>
      <c r="L39" s="7">
        <v>76</v>
      </c>
      <c r="M39" s="8">
        <v>150</v>
      </c>
      <c r="N39" s="7">
        <v>4</v>
      </c>
      <c r="O39">
        <f t="shared" si="3"/>
        <v>18</v>
      </c>
      <c r="P39" s="4">
        <f t="shared" si="4"/>
        <v>0.875</v>
      </c>
      <c r="Q39" t="str">
        <f t="shared" si="5"/>
        <v>Completed</v>
      </c>
    </row>
    <row r="40" spans="1:17" x14ac:dyDescent="0.35">
      <c r="A40" s="5" t="s">
        <v>107</v>
      </c>
      <c r="B40" s="6" t="s">
        <v>108</v>
      </c>
      <c r="C40" s="9">
        <v>46291</v>
      </c>
      <c r="D40" s="6" t="s">
        <v>27</v>
      </c>
      <c r="E40" s="6" t="s">
        <v>28</v>
      </c>
      <c r="F40" s="6" t="s">
        <v>23</v>
      </c>
      <c r="G40" s="5" t="s">
        <v>24</v>
      </c>
      <c r="H40" s="5" t="str">
        <f>_xlfn.XLOOKUP(G40,Staff_Lookup!$A$2:$A$7,Staff_Lookup!$B$2:$B$7,"Not Found")</f>
        <v>Michael Brown</v>
      </c>
      <c r="I40" s="7">
        <v>10</v>
      </c>
      <c r="J40" s="7">
        <v>8</v>
      </c>
      <c r="K40" s="7">
        <v>69</v>
      </c>
      <c r="L40" s="7">
        <v>76</v>
      </c>
      <c r="M40" s="8">
        <v>100</v>
      </c>
      <c r="N40" s="7">
        <v>3</v>
      </c>
      <c r="O40">
        <f t="shared" si="3"/>
        <v>7</v>
      </c>
      <c r="P40" s="4">
        <f t="shared" si="4"/>
        <v>0.8</v>
      </c>
      <c r="Q40" t="str">
        <f t="shared" si="5"/>
        <v>Completed</v>
      </c>
    </row>
    <row r="41" spans="1:17" x14ac:dyDescent="0.35">
      <c r="A41" s="5" t="s">
        <v>109</v>
      </c>
      <c r="B41" s="6" t="s">
        <v>110</v>
      </c>
      <c r="C41" s="9">
        <v>46291</v>
      </c>
      <c r="D41" s="6" t="s">
        <v>21</v>
      </c>
      <c r="E41" s="6" t="s">
        <v>22</v>
      </c>
      <c r="F41" s="6" t="s">
        <v>29</v>
      </c>
      <c r="G41" s="5" t="s">
        <v>18</v>
      </c>
      <c r="H41" s="5" t="str">
        <f>_xlfn.XLOOKUP(G41,Staff_Lookup!$A$2:$A$7,Staff_Lookup!$B$2:$B$7,"Not Found")</f>
        <v>Rachel Morgan</v>
      </c>
      <c r="I41" s="7">
        <v>12</v>
      </c>
      <c r="J41" s="7">
        <v>12</v>
      </c>
      <c r="K41" s="7">
        <v>50</v>
      </c>
      <c r="L41" s="7">
        <v>64</v>
      </c>
      <c r="M41" s="8">
        <v>125</v>
      </c>
      <c r="N41" s="7">
        <v>5</v>
      </c>
      <c r="O41">
        <f t="shared" si="3"/>
        <v>14</v>
      </c>
      <c r="P41" s="4">
        <f t="shared" si="4"/>
        <v>1</v>
      </c>
      <c r="Q41" t="str">
        <f t="shared" si="5"/>
        <v>Completed</v>
      </c>
    </row>
    <row r="42" spans="1:17" x14ac:dyDescent="0.35">
      <c r="A42" s="5" t="s">
        <v>111</v>
      </c>
      <c r="B42" s="6" t="s">
        <v>112</v>
      </c>
      <c r="C42" s="9">
        <v>46292</v>
      </c>
      <c r="D42" s="6" t="s">
        <v>15</v>
      </c>
      <c r="E42" s="6" t="s">
        <v>16</v>
      </c>
      <c r="F42" s="6" t="s">
        <v>17</v>
      </c>
      <c r="G42" s="5" t="s">
        <v>57</v>
      </c>
      <c r="H42" s="5" t="str">
        <f>_xlfn.XLOOKUP(G42,Staff_Lookup!$A$2:$A$7,Staff_Lookup!$B$2:$B$7,"Not Found")</f>
        <v>Ahmed Hassan</v>
      </c>
      <c r="I42" s="7">
        <v>8</v>
      </c>
      <c r="J42" s="7">
        <v>7</v>
      </c>
      <c r="K42" s="7">
        <v>61</v>
      </c>
      <c r="L42" s="7">
        <v>82</v>
      </c>
      <c r="M42" s="8">
        <v>150</v>
      </c>
      <c r="N42" s="7">
        <v>4</v>
      </c>
      <c r="O42">
        <f t="shared" si="3"/>
        <v>21</v>
      </c>
      <c r="P42" s="4">
        <f t="shared" si="4"/>
        <v>0.875</v>
      </c>
      <c r="Q42" t="str">
        <f t="shared" si="5"/>
        <v>Completed</v>
      </c>
    </row>
    <row r="43" spans="1:17" x14ac:dyDescent="0.35">
      <c r="A43" s="5" t="s">
        <v>113</v>
      </c>
      <c r="B43" s="6" t="s">
        <v>114</v>
      </c>
      <c r="C43" s="9">
        <v>46292</v>
      </c>
      <c r="D43" s="6" t="s">
        <v>15</v>
      </c>
      <c r="E43" s="6" t="s">
        <v>16</v>
      </c>
      <c r="F43" s="6" t="s">
        <v>23</v>
      </c>
      <c r="G43" s="5" t="s">
        <v>59</v>
      </c>
      <c r="H43" s="5" t="str">
        <f>_xlfn.XLOOKUP(G43,Staff_Lookup!$A$2:$A$7,Staff_Lookup!$B$2:$B$7,"Not Found")</f>
        <v>Jennifer Lee</v>
      </c>
      <c r="I43" s="7">
        <v>10</v>
      </c>
      <c r="J43" s="7">
        <v>8</v>
      </c>
      <c r="K43" s="7">
        <v>72</v>
      </c>
      <c r="L43" s="7">
        <v>81</v>
      </c>
      <c r="M43" s="8">
        <v>150</v>
      </c>
      <c r="N43" s="7">
        <v>3</v>
      </c>
      <c r="O43">
        <f t="shared" si="3"/>
        <v>9</v>
      </c>
      <c r="P43" s="4">
        <f t="shared" si="4"/>
        <v>0.8</v>
      </c>
      <c r="Q43" t="str">
        <f t="shared" si="5"/>
        <v>Completed</v>
      </c>
    </row>
    <row r="44" spans="1:17" x14ac:dyDescent="0.35">
      <c r="A44" s="5" t="s">
        <v>115</v>
      </c>
      <c r="B44" s="6" t="s">
        <v>116</v>
      </c>
      <c r="C44" s="9">
        <v>46293</v>
      </c>
      <c r="D44" s="6" t="s">
        <v>27</v>
      </c>
      <c r="E44" s="6" t="s">
        <v>33</v>
      </c>
      <c r="F44" s="6" t="s">
        <v>17</v>
      </c>
      <c r="G44" s="5" t="s">
        <v>59</v>
      </c>
      <c r="H44" s="5" t="str">
        <f>_xlfn.XLOOKUP(G44,Staff_Lookup!$A$2:$A$7,Staff_Lookup!$B$2:$B$7,"Not Found")</f>
        <v>Jennifer Lee</v>
      </c>
      <c r="I44" s="7">
        <v>8</v>
      </c>
      <c r="J44" s="7">
        <v>5</v>
      </c>
      <c r="K44" s="7">
        <v>53</v>
      </c>
      <c r="L44" s="7">
        <v>69</v>
      </c>
      <c r="M44" s="8">
        <v>100</v>
      </c>
      <c r="N44" s="7">
        <v>3</v>
      </c>
      <c r="O44">
        <f t="shared" si="3"/>
        <v>16</v>
      </c>
      <c r="P44" s="4">
        <f t="shared" si="4"/>
        <v>0.625</v>
      </c>
      <c r="Q44" t="str">
        <f t="shared" si="5"/>
        <v>Needs Follow-Up</v>
      </c>
    </row>
    <row r="45" spans="1:17" x14ac:dyDescent="0.35">
      <c r="A45" s="5" t="s">
        <v>117</v>
      </c>
      <c r="B45" s="6" t="s">
        <v>118</v>
      </c>
      <c r="C45" s="9">
        <v>46293</v>
      </c>
      <c r="D45" s="6" t="s">
        <v>21</v>
      </c>
      <c r="E45" s="6" t="s">
        <v>28</v>
      </c>
      <c r="F45" s="6" t="s">
        <v>23</v>
      </c>
      <c r="G45" s="5" t="s">
        <v>34</v>
      </c>
      <c r="H45" s="5" t="str">
        <f>_xlfn.XLOOKUP(G45,Staff_Lookup!$A$2:$A$7,Staff_Lookup!$B$2:$B$7,"Not Found")</f>
        <v>Carlos Martinez</v>
      </c>
      <c r="I45" s="7">
        <v>10</v>
      </c>
      <c r="J45" s="7">
        <v>10</v>
      </c>
      <c r="K45" s="7">
        <v>64</v>
      </c>
      <c r="L45" s="7">
        <v>87</v>
      </c>
      <c r="M45" s="8">
        <v>125</v>
      </c>
      <c r="N45" s="7">
        <v>4</v>
      </c>
      <c r="O45">
        <f t="shared" si="3"/>
        <v>23</v>
      </c>
      <c r="P45" s="4">
        <f t="shared" si="4"/>
        <v>1</v>
      </c>
      <c r="Q45" t="str">
        <f t="shared" si="5"/>
        <v>Completed</v>
      </c>
    </row>
    <row r="46" spans="1:17" x14ac:dyDescent="0.35">
      <c r="A46" s="5" t="s">
        <v>119</v>
      </c>
      <c r="B46" s="6" t="s">
        <v>120</v>
      </c>
      <c r="C46" s="9">
        <v>46294</v>
      </c>
      <c r="D46" s="6" t="s">
        <v>15</v>
      </c>
      <c r="E46" s="6" t="s">
        <v>22</v>
      </c>
      <c r="F46" s="6" t="s">
        <v>29</v>
      </c>
      <c r="G46" s="5" t="s">
        <v>30</v>
      </c>
      <c r="H46" s="5" t="str">
        <f>_xlfn.XLOOKUP(G46,Staff_Lookup!$A$2:$A$7,Staff_Lookup!$B$2:$B$7,"Not Found")</f>
        <v>Priya Patel</v>
      </c>
      <c r="I46" s="7">
        <v>12</v>
      </c>
      <c r="J46" s="7">
        <v>11</v>
      </c>
      <c r="K46" s="7">
        <v>75</v>
      </c>
      <c r="L46" s="7">
        <v>86</v>
      </c>
      <c r="M46" s="8">
        <v>150</v>
      </c>
      <c r="N46" s="7">
        <v>4</v>
      </c>
      <c r="O46">
        <f t="shared" si="3"/>
        <v>11</v>
      </c>
      <c r="P46" s="4">
        <f t="shared" si="4"/>
        <v>0.91666666666666663</v>
      </c>
      <c r="Q46" t="str">
        <f t="shared" si="5"/>
        <v>Completed</v>
      </c>
    </row>
    <row r="47" spans="1:17" x14ac:dyDescent="0.35">
      <c r="A47" s="5" t="s">
        <v>121</v>
      </c>
      <c r="B47" s="6" t="s">
        <v>122</v>
      </c>
      <c r="C47" s="9">
        <v>46294</v>
      </c>
      <c r="D47" s="6" t="s">
        <v>27</v>
      </c>
      <c r="E47" s="6" t="s">
        <v>16</v>
      </c>
      <c r="F47" s="6" t="s">
        <v>17</v>
      </c>
      <c r="G47" s="5" t="s">
        <v>24</v>
      </c>
      <c r="H47" s="5" t="str">
        <f>_xlfn.XLOOKUP(G47,Staff_Lookup!$A$2:$A$7,Staff_Lookup!$B$2:$B$7,"Not Found")</f>
        <v>Michael Brown</v>
      </c>
      <c r="I47" s="7">
        <v>8</v>
      </c>
      <c r="J47" s="7">
        <v>6</v>
      </c>
      <c r="K47" s="7">
        <v>56</v>
      </c>
      <c r="L47" s="7">
        <v>74</v>
      </c>
      <c r="M47" s="8">
        <v>100</v>
      </c>
      <c r="N47" s="7">
        <v>3</v>
      </c>
      <c r="O47">
        <f t="shared" si="3"/>
        <v>18</v>
      </c>
      <c r="P47" s="4">
        <f t="shared" si="4"/>
        <v>0.75</v>
      </c>
      <c r="Q47" t="str">
        <f t="shared" si="5"/>
        <v>Needs Follow-Up</v>
      </c>
    </row>
    <row r="48" spans="1:17" x14ac:dyDescent="0.35">
      <c r="A48" s="5" t="s">
        <v>123</v>
      </c>
      <c r="B48" s="6" t="s">
        <v>124</v>
      </c>
      <c r="C48" s="9">
        <v>46295</v>
      </c>
      <c r="D48" s="6" t="s">
        <v>21</v>
      </c>
      <c r="E48" s="6" t="s">
        <v>16</v>
      </c>
      <c r="F48" s="6" t="s">
        <v>29</v>
      </c>
      <c r="G48" s="5" t="s">
        <v>18</v>
      </c>
      <c r="H48" s="5" t="str">
        <f>_xlfn.XLOOKUP(G48,Staff_Lookup!$A$2:$A$7,Staff_Lookup!$B$2:$B$7,"Not Found")</f>
        <v>Rachel Morgan</v>
      </c>
      <c r="I48" s="7">
        <v>10</v>
      </c>
      <c r="J48" s="7">
        <v>7</v>
      </c>
      <c r="K48" s="7">
        <v>67</v>
      </c>
      <c r="L48" s="7">
        <v>74</v>
      </c>
      <c r="M48" s="8">
        <v>125</v>
      </c>
      <c r="N48" s="7">
        <v>2</v>
      </c>
      <c r="O48">
        <f t="shared" si="3"/>
        <v>7</v>
      </c>
      <c r="P48" s="4">
        <f t="shared" si="4"/>
        <v>0.7</v>
      </c>
      <c r="Q48" t="str">
        <f t="shared" si="5"/>
        <v>Needs Follow-Up</v>
      </c>
    </row>
    <row r="49" spans="1:17" x14ac:dyDescent="0.35">
      <c r="A49" s="5" t="s">
        <v>125</v>
      </c>
      <c r="B49" s="6" t="s">
        <v>126</v>
      </c>
      <c r="C49" s="9">
        <v>46295</v>
      </c>
      <c r="D49" s="6" t="s">
        <v>15</v>
      </c>
      <c r="E49" s="6" t="s">
        <v>33</v>
      </c>
      <c r="F49" s="6" t="s">
        <v>17</v>
      </c>
      <c r="G49" s="5" t="s">
        <v>57</v>
      </c>
      <c r="H49" s="5" t="str">
        <f>_xlfn.XLOOKUP(G49,Staff_Lookup!$A$2:$A$7,Staff_Lookup!$B$2:$B$7,"Not Found")</f>
        <v>Ahmed Hassan</v>
      </c>
      <c r="I49" s="7">
        <v>12</v>
      </c>
      <c r="J49" s="7">
        <v>12</v>
      </c>
      <c r="K49" s="7">
        <v>78</v>
      </c>
      <c r="L49" s="7">
        <v>92</v>
      </c>
      <c r="M49" s="8">
        <v>150</v>
      </c>
      <c r="N49" s="7">
        <v>4</v>
      </c>
      <c r="O49">
        <f t="shared" si="3"/>
        <v>14</v>
      </c>
      <c r="P49" s="4">
        <f t="shared" si="4"/>
        <v>1</v>
      </c>
      <c r="Q49" t="str">
        <f t="shared" si="5"/>
        <v>Completed</v>
      </c>
    </row>
    <row r="50" spans="1:17" x14ac:dyDescent="0.35">
      <c r="A50" s="5" t="s">
        <v>127</v>
      </c>
      <c r="B50" s="6" t="s">
        <v>128</v>
      </c>
      <c r="C50" s="9">
        <v>46296</v>
      </c>
      <c r="D50" s="6" t="s">
        <v>15</v>
      </c>
      <c r="E50" s="6" t="s">
        <v>28</v>
      </c>
      <c r="F50" s="6" t="s">
        <v>23</v>
      </c>
      <c r="G50" s="5" t="s">
        <v>59</v>
      </c>
      <c r="H50" s="5" t="str">
        <f>_xlfn.XLOOKUP(G50,Staff_Lookup!$A$2:$A$7,Staff_Lookup!$B$2:$B$7,"Not Found")</f>
        <v>Jennifer Lee</v>
      </c>
      <c r="I50" s="7">
        <v>10</v>
      </c>
      <c r="J50" s="7">
        <v>9</v>
      </c>
      <c r="K50" s="7">
        <v>59</v>
      </c>
      <c r="L50" s="7">
        <v>80</v>
      </c>
      <c r="M50" s="8">
        <v>150</v>
      </c>
      <c r="N50" s="7">
        <v>4</v>
      </c>
      <c r="O50">
        <f t="shared" si="3"/>
        <v>21</v>
      </c>
      <c r="P50" s="4">
        <f t="shared" si="4"/>
        <v>0.9</v>
      </c>
      <c r="Q50" t="str">
        <f t="shared" si="5"/>
        <v>Completed</v>
      </c>
    </row>
    <row r="51" spans="1:17" x14ac:dyDescent="0.35">
      <c r="A51" s="5" t="s">
        <v>129</v>
      </c>
      <c r="B51" s="6" t="s">
        <v>130</v>
      </c>
      <c r="C51" s="9">
        <v>46296</v>
      </c>
      <c r="D51" s="6" t="s">
        <v>27</v>
      </c>
      <c r="E51" s="6" t="s">
        <v>22</v>
      </c>
      <c r="F51" s="6" t="s">
        <v>29</v>
      </c>
      <c r="G51" s="5" t="s">
        <v>34</v>
      </c>
      <c r="H51" s="5" t="str">
        <f>_xlfn.XLOOKUP(G51,Staff_Lookup!$A$2:$A$7,Staff_Lookup!$B$2:$B$7,"Not Found")</f>
        <v>Carlos Martinez</v>
      </c>
      <c r="I51" s="7">
        <v>12</v>
      </c>
      <c r="J51" s="7">
        <v>10</v>
      </c>
      <c r="K51" s="7">
        <v>70</v>
      </c>
      <c r="L51" s="7">
        <v>79</v>
      </c>
      <c r="M51" s="8">
        <v>100</v>
      </c>
      <c r="N51" s="7">
        <v>4</v>
      </c>
      <c r="O51">
        <f t="shared" si="3"/>
        <v>9</v>
      </c>
      <c r="P51" s="4">
        <f t="shared" si="4"/>
        <v>0.83333333333333337</v>
      </c>
      <c r="Q51" t="str">
        <f t="shared" si="5"/>
        <v>Completed</v>
      </c>
    </row>
    <row r="52" spans="1:17" x14ac:dyDescent="0.35">
      <c r="A52" s="5" t="s">
        <v>131</v>
      </c>
      <c r="B52" s="6" t="s">
        <v>132</v>
      </c>
      <c r="C52" s="9">
        <v>46297</v>
      </c>
      <c r="D52" s="6" t="s">
        <v>21</v>
      </c>
      <c r="E52" s="6" t="s">
        <v>16</v>
      </c>
      <c r="F52" s="6" t="s">
        <v>23</v>
      </c>
      <c r="G52" s="5" t="s">
        <v>30</v>
      </c>
      <c r="H52" s="5" t="str">
        <f>_xlfn.XLOOKUP(G52,Staff_Lookup!$A$2:$A$7,Staff_Lookup!$B$2:$B$7,"Not Found")</f>
        <v>Priya Patel</v>
      </c>
      <c r="I52" s="7">
        <v>8</v>
      </c>
      <c r="J52" s="7">
        <v>8</v>
      </c>
      <c r="K52" s="7">
        <v>50</v>
      </c>
      <c r="L52" s="7">
        <v>66</v>
      </c>
      <c r="M52" s="8">
        <v>100</v>
      </c>
      <c r="N52" s="7">
        <v>4</v>
      </c>
      <c r="O52">
        <f t="shared" si="3"/>
        <v>16</v>
      </c>
      <c r="P52" s="4">
        <f t="shared" si="4"/>
        <v>1</v>
      </c>
      <c r="Q52" t="str">
        <f t="shared" si="5"/>
        <v>Completed</v>
      </c>
    </row>
    <row r="53" spans="1:17" x14ac:dyDescent="0.35">
      <c r="A53" s="5" t="s">
        <v>133</v>
      </c>
      <c r="B53" s="6" t="s">
        <v>134</v>
      </c>
      <c r="C53" s="9">
        <v>46297</v>
      </c>
      <c r="D53" s="6" t="s">
        <v>15</v>
      </c>
      <c r="E53" s="6" t="s">
        <v>16</v>
      </c>
      <c r="F53" s="6" t="s">
        <v>29</v>
      </c>
      <c r="G53" s="5" t="s">
        <v>30</v>
      </c>
      <c r="H53" s="5" t="str">
        <f>_xlfn.XLOOKUP(G53,Staff_Lookup!$A$2:$A$7,Staff_Lookup!$B$2:$B$7,"Not Found")</f>
        <v>Priya Patel</v>
      </c>
      <c r="I53" s="7">
        <v>10</v>
      </c>
      <c r="J53" s="7">
        <v>9</v>
      </c>
      <c r="K53" s="7">
        <v>62</v>
      </c>
      <c r="L53" s="7">
        <v>85</v>
      </c>
      <c r="M53" s="8">
        <v>150</v>
      </c>
      <c r="N53" s="7">
        <v>4</v>
      </c>
      <c r="O53">
        <f t="shared" si="3"/>
        <v>23</v>
      </c>
      <c r="P53" s="4">
        <f t="shared" si="4"/>
        <v>0.9</v>
      </c>
      <c r="Q53" t="str">
        <f t="shared" si="5"/>
        <v>Completed</v>
      </c>
    </row>
    <row r="54" spans="1:17" x14ac:dyDescent="0.35">
      <c r="A54" s="5" t="s">
        <v>135</v>
      </c>
      <c r="B54" s="6" t="s">
        <v>136</v>
      </c>
      <c r="C54" s="9">
        <v>46298</v>
      </c>
      <c r="D54" s="6" t="s">
        <v>27</v>
      </c>
      <c r="E54" s="6" t="s">
        <v>33</v>
      </c>
      <c r="F54" s="6" t="s">
        <v>17</v>
      </c>
      <c r="G54" s="5" t="s">
        <v>24</v>
      </c>
      <c r="H54" s="5" t="str">
        <f>_xlfn.XLOOKUP(G54,Staff_Lookup!$A$2:$A$7,Staff_Lookup!$B$2:$B$7,"Not Found")</f>
        <v>Michael Brown</v>
      </c>
      <c r="I54" s="7">
        <v>12</v>
      </c>
      <c r="J54" s="7">
        <v>10</v>
      </c>
      <c r="K54" s="7">
        <v>73</v>
      </c>
      <c r="L54" s="7">
        <v>84</v>
      </c>
      <c r="M54" s="8">
        <v>100</v>
      </c>
      <c r="N54" s="7">
        <v>3</v>
      </c>
      <c r="O54">
        <f t="shared" si="3"/>
        <v>11</v>
      </c>
      <c r="P54" s="4">
        <f t="shared" si="4"/>
        <v>0.83333333333333337</v>
      </c>
      <c r="Q54" t="str">
        <f t="shared" si="5"/>
        <v>Completed</v>
      </c>
    </row>
    <row r="55" spans="1:17" x14ac:dyDescent="0.35">
      <c r="A55" s="5" t="s">
        <v>137</v>
      </c>
      <c r="B55" s="6" t="s">
        <v>138</v>
      </c>
      <c r="C55" s="9">
        <v>46298</v>
      </c>
      <c r="D55" s="6" t="s">
        <v>21</v>
      </c>
      <c r="E55" s="6" t="s">
        <v>28</v>
      </c>
      <c r="F55" s="6" t="s">
        <v>23</v>
      </c>
      <c r="G55" s="5" t="s">
        <v>18</v>
      </c>
      <c r="H55" s="5" t="str">
        <f>_xlfn.XLOOKUP(G55,Staff_Lookup!$A$2:$A$7,Staff_Lookup!$B$2:$B$7,"Not Found")</f>
        <v>Rachel Morgan</v>
      </c>
      <c r="I55" s="7">
        <v>8</v>
      </c>
      <c r="J55" s="7">
        <v>5</v>
      </c>
      <c r="K55" s="7">
        <v>53</v>
      </c>
      <c r="L55" s="7">
        <v>71</v>
      </c>
      <c r="M55" s="8">
        <v>125</v>
      </c>
      <c r="N55" s="7">
        <v>3</v>
      </c>
      <c r="O55">
        <f t="shared" si="3"/>
        <v>18</v>
      </c>
      <c r="P55" s="4">
        <f t="shared" si="4"/>
        <v>0.625</v>
      </c>
      <c r="Q55" t="str">
        <f t="shared" si="5"/>
        <v>Needs Follow-Up</v>
      </c>
    </row>
    <row r="56" spans="1:17" x14ac:dyDescent="0.35">
      <c r="A56" s="5" t="s">
        <v>139</v>
      </c>
      <c r="B56" s="6" t="s">
        <v>140</v>
      </c>
      <c r="C56" s="9">
        <v>46299</v>
      </c>
      <c r="D56" s="6" t="s">
        <v>15</v>
      </c>
      <c r="E56" s="6" t="s">
        <v>22</v>
      </c>
      <c r="F56" s="6" t="s">
        <v>17</v>
      </c>
      <c r="G56" s="5" t="s">
        <v>57</v>
      </c>
      <c r="H56" s="5" t="str">
        <f>_xlfn.XLOOKUP(G56,Staff_Lookup!$A$2:$A$7,Staff_Lookup!$B$2:$B$7,"Not Found")</f>
        <v>Ahmed Hassan</v>
      </c>
      <c r="I56" s="7">
        <v>12</v>
      </c>
      <c r="J56" s="7">
        <v>12</v>
      </c>
      <c r="K56" s="7">
        <v>65</v>
      </c>
      <c r="L56" s="7">
        <v>72</v>
      </c>
      <c r="M56" s="8">
        <v>150</v>
      </c>
      <c r="N56" s="7">
        <v>4</v>
      </c>
      <c r="O56">
        <f t="shared" si="3"/>
        <v>7</v>
      </c>
      <c r="P56" s="4">
        <f t="shared" si="4"/>
        <v>1</v>
      </c>
      <c r="Q56" t="str">
        <f t="shared" si="5"/>
        <v>Completed</v>
      </c>
    </row>
    <row r="57" spans="1:17" x14ac:dyDescent="0.35">
      <c r="A57" s="5" t="s">
        <v>141</v>
      </c>
      <c r="B57" s="6" t="s">
        <v>142</v>
      </c>
      <c r="C57" s="9">
        <v>46299</v>
      </c>
      <c r="D57" s="6" t="s">
        <v>15</v>
      </c>
      <c r="E57" s="6" t="s">
        <v>16</v>
      </c>
      <c r="F57" s="6" t="s">
        <v>23</v>
      </c>
      <c r="G57" s="5" t="s">
        <v>59</v>
      </c>
      <c r="H57" s="5" t="str">
        <f>_xlfn.XLOOKUP(G57,Staff_Lookup!$A$2:$A$7,Staff_Lookup!$B$2:$B$7,"Not Found")</f>
        <v>Jennifer Lee</v>
      </c>
      <c r="I57" s="7">
        <v>8</v>
      </c>
      <c r="J57" s="7">
        <v>7</v>
      </c>
      <c r="K57" s="7">
        <v>76</v>
      </c>
      <c r="L57" s="7">
        <v>90</v>
      </c>
      <c r="M57" s="8">
        <v>150</v>
      </c>
      <c r="N57" s="7">
        <v>4</v>
      </c>
      <c r="O57">
        <f t="shared" si="3"/>
        <v>14</v>
      </c>
      <c r="P57" s="4">
        <f t="shared" si="4"/>
        <v>0.875</v>
      </c>
      <c r="Q57" t="str">
        <f t="shared" si="5"/>
        <v>Completed</v>
      </c>
    </row>
    <row r="58" spans="1:17" x14ac:dyDescent="0.35">
      <c r="A58" s="5" t="s">
        <v>143</v>
      </c>
      <c r="B58" s="6" t="s">
        <v>144</v>
      </c>
      <c r="C58" s="9">
        <v>46300</v>
      </c>
      <c r="D58" s="6" t="s">
        <v>27</v>
      </c>
      <c r="E58" s="6" t="s">
        <v>16</v>
      </c>
      <c r="F58" s="6" t="s">
        <v>29</v>
      </c>
      <c r="G58" s="5" t="s">
        <v>34</v>
      </c>
      <c r="H58" s="5" t="str">
        <f>_xlfn.XLOOKUP(G58,Staff_Lookup!$A$2:$A$7,Staff_Lookup!$B$2:$B$7,"Not Found")</f>
        <v>Carlos Martinez</v>
      </c>
      <c r="I58" s="7">
        <v>10</v>
      </c>
      <c r="J58" s="7">
        <v>8</v>
      </c>
      <c r="K58" s="7">
        <v>56</v>
      </c>
      <c r="L58" s="7">
        <v>77</v>
      </c>
      <c r="M58" s="8">
        <v>100</v>
      </c>
      <c r="N58" s="7">
        <v>4</v>
      </c>
      <c r="O58">
        <f t="shared" si="3"/>
        <v>21</v>
      </c>
      <c r="P58" s="4">
        <f t="shared" si="4"/>
        <v>0.8</v>
      </c>
      <c r="Q58" t="str">
        <f t="shared" si="5"/>
        <v>Completed</v>
      </c>
    </row>
    <row r="59" spans="1:17" x14ac:dyDescent="0.35">
      <c r="A59" s="5" t="s">
        <v>145</v>
      </c>
      <c r="B59" s="6" t="s">
        <v>146</v>
      </c>
      <c r="C59" s="9">
        <v>46300</v>
      </c>
      <c r="D59" s="6" t="s">
        <v>21</v>
      </c>
      <c r="E59" s="6" t="s">
        <v>33</v>
      </c>
      <c r="F59" s="6" t="s">
        <v>17</v>
      </c>
      <c r="G59" s="5" t="s">
        <v>30</v>
      </c>
      <c r="H59" s="5" t="str">
        <f>_xlfn.XLOOKUP(G59,Staff_Lookup!$A$2:$A$7,Staff_Lookup!$B$2:$B$7,"Not Found")</f>
        <v>Priya Patel</v>
      </c>
      <c r="I59" s="7">
        <v>12</v>
      </c>
      <c r="J59" s="7">
        <v>9</v>
      </c>
      <c r="K59" s="7">
        <v>68</v>
      </c>
      <c r="L59" s="7">
        <v>77</v>
      </c>
      <c r="M59" s="8">
        <v>125</v>
      </c>
      <c r="N59" s="7">
        <v>2</v>
      </c>
      <c r="O59">
        <f t="shared" si="3"/>
        <v>9</v>
      </c>
      <c r="P59" s="4">
        <f t="shared" si="4"/>
        <v>0.75</v>
      </c>
      <c r="Q59" t="str">
        <f t="shared" si="5"/>
        <v>Needs Follow-Up</v>
      </c>
    </row>
    <row r="60" spans="1:17" x14ac:dyDescent="0.35">
      <c r="A60" s="5" t="s">
        <v>147</v>
      </c>
      <c r="B60" s="6" t="s">
        <v>148</v>
      </c>
      <c r="C60" s="9">
        <v>46301</v>
      </c>
      <c r="D60" s="6" t="s">
        <v>15</v>
      </c>
      <c r="E60" s="6" t="s">
        <v>28</v>
      </c>
      <c r="F60" s="6" t="s">
        <v>29</v>
      </c>
      <c r="G60" s="5" t="s">
        <v>24</v>
      </c>
      <c r="H60" s="5" t="str">
        <f>_xlfn.XLOOKUP(G60,Staff_Lookup!$A$2:$A$7,Staff_Lookup!$B$2:$B$7,"Not Found")</f>
        <v>Michael Brown</v>
      </c>
      <c r="I60" s="7">
        <v>8</v>
      </c>
      <c r="J60" s="7">
        <v>8</v>
      </c>
      <c r="K60" s="7">
        <v>48</v>
      </c>
      <c r="L60" s="7">
        <v>64</v>
      </c>
      <c r="M60" s="8">
        <v>150</v>
      </c>
      <c r="N60" s="7">
        <v>4</v>
      </c>
      <c r="O60">
        <f t="shared" si="3"/>
        <v>16</v>
      </c>
      <c r="P60" s="4">
        <f t="shared" si="4"/>
        <v>1</v>
      </c>
      <c r="Q60" t="str">
        <f t="shared" si="5"/>
        <v>Completed</v>
      </c>
    </row>
    <row r="61" spans="1:17" x14ac:dyDescent="0.35">
      <c r="A61" s="5" t="s">
        <v>149</v>
      </c>
      <c r="B61" s="6" t="s">
        <v>150</v>
      </c>
      <c r="C61" s="9">
        <v>46301</v>
      </c>
      <c r="D61" s="6" t="s">
        <v>27</v>
      </c>
      <c r="E61" s="6" t="s">
        <v>22</v>
      </c>
      <c r="F61" s="6" t="s">
        <v>17</v>
      </c>
      <c r="G61" s="5" t="s">
        <v>18</v>
      </c>
      <c r="H61" s="5" t="str">
        <f>_xlfn.XLOOKUP(G61,Staff_Lookup!$A$2:$A$7,Staff_Lookup!$B$2:$B$7,"Not Found")</f>
        <v>Rachel Morgan</v>
      </c>
      <c r="I61" s="7">
        <v>10</v>
      </c>
      <c r="J61" s="7">
        <v>9</v>
      </c>
      <c r="K61" s="7">
        <v>59</v>
      </c>
      <c r="L61" s="7">
        <v>82</v>
      </c>
      <c r="M61" s="8">
        <v>100</v>
      </c>
      <c r="N61" s="7">
        <v>5</v>
      </c>
      <c r="O61">
        <f t="shared" si="3"/>
        <v>23</v>
      </c>
      <c r="P61" s="4">
        <f t="shared" si="4"/>
        <v>0.9</v>
      </c>
      <c r="Q61" t="str">
        <f t="shared" si="5"/>
        <v>Completed</v>
      </c>
    </row>
    <row r="62" spans="1:17" x14ac:dyDescent="0.35">
      <c r="A62" s="5" t="s">
        <v>151</v>
      </c>
      <c r="B62" s="6" t="s">
        <v>152</v>
      </c>
      <c r="C62" s="9">
        <v>46302</v>
      </c>
      <c r="D62" s="6" t="s">
        <v>21</v>
      </c>
      <c r="E62" s="6" t="s">
        <v>16</v>
      </c>
      <c r="F62" s="6" t="s">
        <v>23</v>
      </c>
      <c r="G62" s="5" t="s">
        <v>18</v>
      </c>
      <c r="H62" s="5" t="str">
        <f>_xlfn.XLOOKUP(G62,Staff_Lookup!$A$2:$A$7,Staff_Lookup!$B$2:$B$7,"Not Found")</f>
        <v>Rachel Morgan</v>
      </c>
      <c r="I62" s="7">
        <v>8</v>
      </c>
      <c r="J62" s="7">
        <v>6</v>
      </c>
      <c r="K62" s="7">
        <v>71</v>
      </c>
      <c r="L62" s="7">
        <v>82</v>
      </c>
      <c r="M62" s="8">
        <v>125</v>
      </c>
      <c r="N62" s="7">
        <v>2</v>
      </c>
      <c r="O62">
        <f t="shared" si="3"/>
        <v>11</v>
      </c>
      <c r="P62" s="4">
        <f t="shared" si="4"/>
        <v>0.75</v>
      </c>
      <c r="Q62" t="str">
        <f t="shared" si="5"/>
        <v>Needs Follow-Up</v>
      </c>
    </row>
    <row r="63" spans="1:17" x14ac:dyDescent="0.35">
      <c r="A63" s="5" t="s">
        <v>153</v>
      </c>
      <c r="B63" s="6" t="s">
        <v>154</v>
      </c>
      <c r="C63" s="9">
        <v>46302</v>
      </c>
      <c r="D63" s="6" t="s">
        <v>15</v>
      </c>
      <c r="E63" s="6" t="s">
        <v>16</v>
      </c>
      <c r="F63" s="6" t="s">
        <v>29</v>
      </c>
      <c r="G63" s="5" t="s">
        <v>57</v>
      </c>
      <c r="H63" s="5" t="str">
        <f>_xlfn.XLOOKUP(G63,Staff_Lookup!$A$2:$A$7,Staff_Lookup!$B$2:$B$7,"Not Found")</f>
        <v>Ahmed Hassan</v>
      </c>
      <c r="I63" s="7">
        <v>10</v>
      </c>
      <c r="J63" s="7">
        <v>10</v>
      </c>
      <c r="K63" s="7">
        <v>51</v>
      </c>
      <c r="L63" s="7">
        <v>69</v>
      </c>
      <c r="M63" s="8">
        <v>150</v>
      </c>
      <c r="N63" s="7">
        <v>4</v>
      </c>
      <c r="O63">
        <f t="shared" si="3"/>
        <v>18</v>
      </c>
      <c r="P63" s="4">
        <f t="shared" si="4"/>
        <v>1</v>
      </c>
      <c r="Q63" t="str">
        <f t="shared" si="5"/>
        <v>Completed</v>
      </c>
    </row>
    <row r="64" spans="1:17" x14ac:dyDescent="0.35">
      <c r="A64" s="5" t="s">
        <v>155</v>
      </c>
      <c r="B64" s="6" t="s">
        <v>156</v>
      </c>
      <c r="C64" s="9">
        <v>46303</v>
      </c>
      <c r="D64" s="6" t="s">
        <v>15</v>
      </c>
      <c r="E64" s="6" t="s">
        <v>33</v>
      </c>
      <c r="F64" s="6" t="s">
        <v>23</v>
      </c>
      <c r="G64" s="5" t="s">
        <v>59</v>
      </c>
      <c r="H64" s="5" t="str">
        <f>_xlfn.XLOOKUP(G64,Staff_Lookup!$A$2:$A$7,Staff_Lookup!$B$2:$B$7,"Not Found")</f>
        <v>Jennifer Lee</v>
      </c>
      <c r="I64" s="7">
        <v>12</v>
      </c>
      <c r="J64" s="7">
        <v>11</v>
      </c>
      <c r="K64" s="7">
        <v>62</v>
      </c>
      <c r="L64" s="7">
        <v>69</v>
      </c>
      <c r="M64" s="8">
        <v>150</v>
      </c>
      <c r="N64" s="7">
        <v>3</v>
      </c>
      <c r="O64">
        <f t="shared" si="3"/>
        <v>7</v>
      </c>
      <c r="P64" s="4">
        <f t="shared" si="4"/>
        <v>0.91666666666666663</v>
      </c>
      <c r="Q64" t="str">
        <f t="shared" si="5"/>
        <v>Completed</v>
      </c>
    </row>
    <row r="65" spans="1:17" x14ac:dyDescent="0.35">
      <c r="A65" s="5" t="s">
        <v>157</v>
      </c>
      <c r="B65" s="6" t="s">
        <v>158</v>
      </c>
      <c r="C65" s="9">
        <v>46303</v>
      </c>
      <c r="D65" s="6" t="s">
        <v>27</v>
      </c>
      <c r="E65" s="6" t="s">
        <v>28</v>
      </c>
      <c r="F65" s="6" t="s">
        <v>29</v>
      </c>
      <c r="G65" s="5" t="s">
        <v>34</v>
      </c>
      <c r="H65" s="5" t="str">
        <f>_xlfn.XLOOKUP(G65,Staff_Lookup!$A$2:$A$7,Staff_Lookup!$B$2:$B$7,"Not Found")</f>
        <v>Carlos Martinez</v>
      </c>
      <c r="I65" s="7">
        <v>8</v>
      </c>
      <c r="J65" s="7">
        <v>6</v>
      </c>
      <c r="K65" s="7">
        <v>74</v>
      </c>
      <c r="L65" s="7">
        <v>88</v>
      </c>
      <c r="M65" s="8">
        <v>100</v>
      </c>
      <c r="N65" s="7">
        <v>3</v>
      </c>
      <c r="O65">
        <f t="shared" si="3"/>
        <v>14</v>
      </c>
      <c r="P65" s="4">
        <f t="shared" si="4"/>
        <v>0.75</v>
      </c>
      <c r="Q65" t="str">
        <f t="shared" si="5"/>
        <v>Needs Follow-Up</v>
      </c>
    </row>
    <row r="66" spans="1:17" x14ac:dyDescent="0.35">
      <c r="A66" s="5" t="s">
        <v>159</v>
      </c>
      <c r="B66" s="6" t="s">
        <v>160</v>
      </c>
      <c r="C66" s="9">
        <v>46304</v>
      </c>
      <c r="D66" s="6" t="s">
        <v>21</v>
      </c>
      <c r="E66" s="6" t="s">
        <v>22</v>
      </c>
      <c r="F66" s="6" t="s">
        <v>17</v>
      </c>
      <c r="G66" s="5" t="s">
        <v>30</v>
      </c>
      <c r="H66" s="5" t="str">
        <f>_xlfn.XLOOKUP(G66,Staff_Lookup!$A$2:$A$7,Staff_Lookup!$B$2:$B$7,"Not Found")</f>
        <v>Priya Patel</v>
      </c>
      <c r="I66" s="7">
        <v>10</v>
      </c>
      <c r="J66" s="7">
        <v>7</v>
      </c>
      <c r="K66" s="7">
        <v>54</v>
      </c>
      <c r="L66" s="7">
        <v>75</v>
      </c>
      <c r="M66" s="8">
        <v>125</v>
      </c>
      <c r="N66" s="7">
        <v>4</v>
      </c>
      <c r="O66">
        <f t="shared" ref="O66:O97" si="6">L66-K66</f>
        <v>21</v>
      </c>
      <c r="P66" s="4">
        <f t="shared" ref="P66:P97" si="7">J66/I66</f>
        <v>0.7</v>
      </c>
      <c r="Q66" t="str">
        <f t="shared" ref="Q66:Q97" si="8">IF(P66&gt;=$T$15, "Completed", "Needs Follow-Up")</f>
        <v>Needs Follow-Up</v>
      </c>
    </row>
    <row r="67" spans="1:17" x14ac:dyDescent="0.35">
      <c r="A67" s="5" t="s">
        <v>161</v>
      </c>
      <c r="B67" s="6" t="s">
        <v>162</v>
      </c>
      <c r="C67" s="9">
        <v>46304</v>
      </c>
      <c r="D67" s="6" t="s">
        <v>15</v>
      </c>
      <c r="E67" s="6" t="s">
        <v>16</v>
      </c>
      <c r="F67" s="6" t="s">
        <v>23</v>
      </c>
      <c r="G67" s="5" t="s">
        <v>24</v>
      </c>
      <c r="H67" s="5" t="str">
        <f>_xlfn.XLOOKUP(G67,Staff_Lookup!$A$2:$A$7,Staff_Lookup!$B$2:$B$7,"Not Found")</f>
        <v>Michael Brown</v>
      </c>
      <c r="I67" s="7">
        <v>12</v>
      </c>
      <c r="J67" s="7">
        <v>12</v>
      </c>
      <c r="K67" s="7">
        <v>65</v>
      </c>
      <c r="L67" s="7">
        <v>74</v>
      </c>
      <c r="M67" s="8">
        <v>150</v>
      </c>
      <c r="N67" s="7">
        <v>3</v>
      </c>
      <c r="O67">
        <f t="shared" si="6"/>
        <v>9</v>
      </c>
      <c r="P67" s="4">
        <f t="shared" si="7"/>
        <v>1</v>
      </c>
      <c r="Q67" t="str">
        <f t="shared" si="8"/>
        <v>Completed</v>
      </c>
    </row>
    <row r="68" spans="1:17" x14ac:dyDescent="0.35">
      <c r="A68" s="5" t="s">
        <v>163</v>
      </c>
      <c r="B68" s="6" t="s">
        <v>164</v>
      </c>
      <c r="C68" s="9">
        <v>46305</v>
      </c>
      <c r="D68" s="6" t="s">
        <v>27</v>
      </c>
      <c r="E68" s="6" t="s">
        <v>16</v>
      </c>
      <c r="F68" s="6" t="s">
        <v>17</v>
      </c>
      <c r="G68" s="5" t="s">
        <v>18</v>
      </c>
      <c r="H68" s="5" t="str">
        <f>_xlfn.XLOOKUP(G68,Staff_Lookup!$A$2:$A$7,Staff_Lookup!$B$2:$B$7,"Not Found")</f>
        <v>Rachel Morgan</v>
      </c>
      <c r="I68" s="7">
        <v>10</v>
      </c>
      <c r="J68" s="7">
        <v>9</v>
      </c>
      <c r="K68" s="7">
        <v>77</v>
      </c>
      <c r="L68" s="7">
        <v>93</v>
      </c>
      <c r="M68" s="8">
        <v>100</v>
      </c>
      <c r="N68" s="7">
        <v>4</v>
      </c>
      <c r="O68">
        <f t="shared" si="6"/>
        <v>16</v>
      </c>
      <c r="P68" s="4">
        <f t="shared" si="7"/>
        <v>0.9</v>
      </c>
      <c r="Q68" t="str">
        <f t="shared" si="8"/>
        <v>Completed</v>
      </c>
    </row>
    <row r="69" spans="1:17" x14ac:dyDescent="0.35">
      <c r="A69" s="5" t="s">
        <v>165</v>
      </c>
      <c r="B69" s="6" t="s">
        <v>166</v>
      </c>
      <c r="C69" s="9">
        <v>46305</v>
      </c>
      <c r="D69" s="6" t="s">
        <v>21</v>
      </c>
      <c r="E69" s="6" t="s">
        <v>33</v>
      </c>
      <c r="F69" s="6" t="s">
        <v>23</v>
      </c>
      <c r="G69" s="5" t="s">
        <v>57</v>
      </c>
      <c r="H69" s="5" t="str">
        <f>_xlfn.XLOOKUP(G69,Staff_Lookup!$A$2:$A$7,Staff_Lookup!$B$2:$B$7,"Not Found")</f>
        <v>Ahmed Hassan</v>
      </c>
      <c r="I69" s="7">
        <v>12</v>
      </c>
      <c r="J69" s="7">
        <v>10</v>
      </c>
      <c r="K69" s="7">
        <v>57</v>
      </c>
      <c r="L69" s="7">
        <v>80</v>
      </c>
      <c r="M69" s="8">
        <v>100</v>
      </c>
      <c r="N69" s="7">
        <v>4</v>
      </c>
      <c r="O69">
        <f t="shared" si="6"/>
        <v>23</v>
      </c>
      <c r="P69" s="4">
        <f t="shared" si="7"/>
        <v>0.83333333333333337</v>
      </c>
      <c r="Q69" t="str">
        <f t="shared" si="8"/>
        <v>Completed</v>
      </c>
    </row>
    <row r="70" spans="1:17" x14ac:dyDescent="0.35">
      <c r="A70" s="5" t="s">
        <v>167</v>
      </c>
      <c r="B70" s="6" t="s">
        <v>168</v>
      </c>
      <c r="C70" s="9">
        <v>46306</v>
      </c>
      <c r="D70" s="6" t="s">
        <v>15</v>
      </c>
      <c r="E70" s="6" t="s">
        <v>28</v>
      </c>
      <c r="F70" s="6" t="s">
        <v>29</v>
      </c>
      <c r="G70" s="5" t="s">
        <v>59</v>
      </c>
      <c r="H70" s="5" t="str">
        <f>_xlfn.XLOOKUP(G70,Staff_Lookup!$A$2:$A$7,Staff_Lookup!$B$2:$B$7,"Not Found")</f>
        <v>Jennifer Lee</v>
      </c>
      <c r="I70" s="7">
        <v>8</v>
      </c>
      <c r="J70" s="7">
        <v>5</v>
      </c>
      <c r="K70" s="7">
        <v>68</v>
      </c>
      <c r="L70" s="7">
        <v>79</v>
      </c>
      <c r="M70" s="8">
        <v>150</v>
      </c>
      <c r="N70" s="7">
        <v>2</v>
      </c>
      <c r="O70">
        <f t="shared" si="6"/>
        <v>11</v>
      </c>
      <c r="P70" s="4">
        <f t="shared" si="7"/>
        <v>0.625</v>
      </c>
      <c r="Q70" t="str">
        <f t="shared" si="8"/>
        <v>Needs Follow-Up</v>
      </c>
    </row>
    <row r="71" spans="1:17" x14ac:dyDescent="0.35">
      <c r="A71" s="5" t="s">
        <v>169</v>
      </c>
      <c r="B71" s="6" t="s">
        <v>170</v>
      </c>
      <c r="C71" s="9">
        <v>46306</v>
      </c>
      <c r="D71" s="6" t="s">
        <v>15</v>
      </c>
      <c r="E71" s="6" t="s">
        <v>22</v>
      </c>
      <c r="F71" s="6" t="s">
        <v>17</v>
      </c>
      <c r="G71" s="5" t="s">
        <v>59</v>
      </c>
      <c r="H71" s="5" t="str">
        <f>_xlfn.XLOOKUP(G71,Staff_Lookup!$A$2:$A$7,Staff_Lookup!$B$2:$B$7,"Not Found")</f>
        <v>Jennifer Lee</v>
      </c>
      <c r="I71" s="7">
        <v>10</v>
      </c>
      <c r="J71" s="7">
        <v>10</v>
      </c>
      <c r="K71" s="7">
        <v>49</v>
      </c>
      <c r="L71" s="7">
        <v>67</v>
      </c>
      <c r="M71" s="8">
        <v>150</v>
      </c>
      <c r="N71" s="7">
        <v>5</v>
      </c>
      <c r="O71">
        <f t="shared" si="6"/>
        <v>18</v>
      </c>
      <c r="P71" s="4">
        <f t="shared" si="7"/>
        <v>1</v>
      </c>
      <c r="Q71" t="str">
        <f t="shared" si="8"/>
        <v>Completed</v>
      </c>
    </row>
    <row r="72" spans="1:17" x14ac:dyDescent="0.35">
      <c r="A72" s="5" t="s">
        <v>171</v>
      </c>
      <c r="B72" s="6" t="s">
        <v>172</v>
      </c>
      <c r="C72" s="9">
        <v>46307</v>
      </c>
      <c r="D72" s="6" t="s">
        <v>27</v>
      </c>
      <c r="E72" s="6" t="s">
        <v>16</v>
      </c>
      <c r="F72" s="6" t="s">
        <v>29</v>
      </c>
      <c r="G72" s="5" t="s">
        <v>34</v>
      </c>
      <c r="H72" s="5" t="str">
        <f>_xlfn.XLOOKUP(G72,Staff_Lookup!$A$2:$A$7,Staff_Lookup!$B$2:$B$7,"Not Found")</f>
        <v>Carlos Martinez</v>
      </c>
      <c r="I72" s="7">
        <v>12</v>
      </c>
      <c r="J72" s="7">
        <v>11</v>
      </c>
      <c r="K72" s="7">
        <v>60</v>
      </c>
      <c r="L72" s="7">
        <v>67</v>
      </c>
      <c r="M72" s="8">
        <v>100</v>
      </c>
      <c r="N72" s="7">
        <v>3</v>
      </c>
      <c r="O72">
        <f t="shared" si="6"/>
        <v>7</v>
      </c>
      <c r="P72" s="4">
        <f t="shared" si="7"/>
        <v>0.91666666666666663</v>
      </c>
      <c r="Q72" t="str">
        <f t="shared" si="8"/>
        <v>Completed</v>
      </c>
    </row>
    <row r="73" spans="1:17" x14ac:dyDescent="0.35">
      <c r="A73" s="5" t="s">
        <v>173</v>
      </c>
      <c r="B73" s="6" t="s">
        <v>174</v>
      </c>
      <c r="C73" s="9">
        <v>46307</v>
      </c>
      <c r="D73" s="6" t="s">
        <v>21</v>
      </c>
      <c r="E73" s="6" t="s">
        <v>16</v>
      </c>
      <c r="F73" s="6" t="s">
        <v>17</v>
      </c>
      <c r="G73" s="5" t="s">
        <v>30</v>
      </c>
      <c r="H73" s="5" t="str">
        <f>_xlfn.XLOOKUP(G73,Staff_Lookup!$A$2:$A$7,Staff_Lookup!$B$2:$B$7,"Not Found")</f>
        <v>Priya Patel</v>
      </c>
      <c r="I73" s="7">
        <v>8</v>
      </c>
      <c r="J73" s="7">
        <v>6</v>
      </c>
      <c r="K73" s="7">
        <v>71</v>
      </c>
      <c r="L73" s="7">
        <v>85</v>
      </c>
      <c r="M73" s="8">
        <v>125</v>
      </c>
      <c r="N73" s="7">
        <v>3</v>
      </c>
      <c r="O73">
        <f t="shared" si="6"/>
        <v>14</v>
      </c>
      <c r="P73" s="4">
        <f t="shared" si="7"/>
        <v>0.75</v>
      </c>
      <c r="Q73" t="str">
        <f t="shared" si="8"/>
        <v>Needs Follow-Up</v>
      </c>
    </row>
    <row r="74" spans="1:17" x14ac:dyDescent="0.35">
      <c r="A74" s="5" t="s">
        <v>175</v>
      </c>
      <c r="B74" s="6" t="s">
        <v>176</v>
      </c>
      <c r="C74" s="9">
        <v>46308</v>
      </c>
      <c r="D74" s="6" t="s">
        <v>15</v>
      </c>
      <c r="E74" s="6" t="s">
        <v>33</v>
      </c>
      <c r="F74" s="6" t="s">
        <v>23</v>
      </c>
      <c r="G74" s="5" t="s">
        <v>24</v>
      </c>
      <c r="H74" s="5" t="str">
        <f>_xlfn.XLOOKUP(G74,Staff_Lookup!$A$2:$A$7,Staff_Lookup!$B$2:$B$7,"Not Found")</f>
        <v>Michael Brown</v>
      </c>
      <c r="I74" s="7">
        <v>12</v>
      </c>
      <c r="J74" s="7">
        <v>12</v>
      </c>
      <c r="K74" s="7">
        <v>52</v>
      </c>
      <c r="L74" s="7">
        <v>73</v>
      </c>
      <c r="M74" s="8">
        <v>150</v>
      </c>
      <c r="N74" s="7">
        <v>4</v>
      </c>
      <c r="O74">
        <f t="shared" si="6"/>
        <v>21</v>
      </c>
      <c r="P74" s="4">
        <f t="shared" si="7"/>
        <v>1</v>
      </c>
      <c r="Q74" t="str">
        <f t="shared" si="8"/>
        <v>Completed</v>
      </c>
    </row>
    <row r="75" spans="1:17" x14ac:dyDescent="0.35">
      <c r="A75" s="5" t="s">
        <v>177</v>
      </c>
      <c r="B75" s="6" t="s">
        <v>178</v>
      </c>
      <c r="C75" s="9">
        <v>46308</v>
      </c>
      <c r="D75" s="6" t="s">
        <v>27</v>
      </c>
      <c r="E75" s="6" t="s">
        <v>28</v>
      </c>
      <c r="F75" s="6" t="s">
        <v>29</v>
      </c>
      <c r="G75" s="5" t="s">
        <v>18</v>
      </c>
      <c r="H75" s="5" t="str">
        <f>_xlfn.XLOOKUP(G75,Staff_Lookup!$A$2:$A$7,Staff_Lookup!$B$2:$B$7,"Not Found")</f>
        <v>Rachel Morgan</v>
      </c>
      <c r="I75" s="7">
        <v>8</v>
      </c>
      <c r="J75" s="7">
        <v>7</v>
      </c>
      <c r="K75" s="7">
        <v>63</v>
      </c>
      <c r="L75" s="7">
        <v>72</v>
      </c>
      <c r="M75" s="8">
        <v>100</v>
      </c>
      <c r="N75" s="7">
        <v>3</v>
      </c>
      <c r="O75">
        <f t="shared" si="6"/>
        <v>9</v>
      </c>
      <c r="P75" s="4">
        <f t="shared" si="7"/>
        <v>0.875</v>
      </c>
      <c r="Q75" t="str">
        <f t="shared" si="8"/>
        <v>Completed</v>
      </c>
    </row>
    <row r="76" spans="1:17" x14ac:dyDescent="0.35">
      <c r="A76" s="5" t="s">
        <v>179</v>
      </c>
      <c r="B76" s="6" t="s">
        <v>180</v>
      </c>
      <c r="C76" s="9">
        <v>46309</v>
      </c>
      <c r="D76" s="6" t="s">
        <v>21</v>
      </c>
      <c r="E76" s="6" t="s">
        <v>22</v>
      </c>
      <c r="F76" s="6" t="s">
        <v>23</v>
      </c>
      <c r="G76" s="5" t="s">
        <v>57</v>
      </c>
      <c r="H76" s="5" t="str">
        <f>_xlfn.XLOOKUP(G76,Staff_Lookup!$A$2:$A$7,Staff_Lookup!$B$2:$B$7,"Not Found")</f>
        <v>Ahmed Hassan</v>
      </c>
      <c r="I76" s="7">
        <v>10</v>
      </c>
      <c r="J76" s="7">
        <v>8</v>
      </c>
      <c r="K76" s="7">
        <v>74</v>
      </c>
      <c r="L76" s="7">
        <v>90</v>
      </c>
      <c r="M76" s="8">
        <v>125</v>
      </c>
      <c r="N76" s="7">
        <v>5</v>
      </c>
      <c r="O76">
        <f t="shared" si="6"/>
        <v>16</v>
      </c>
      <c r="P76" s="4">
        <f t="shared" si="7"/>
        <v>0.8</v>
      </c>
      <c r="Q76" t="str">
        <f t="shared" si="8"/>
        <v>Completed</v>
      </c>
    </row>
    <row r="77" spans="1:17" x14ac:dyDescent="0.35">
      <c r="A77" s="5" t="s">
        <v>181</v>
      </c>
      <c r="B77" s="6" t="s">
        <v>182</v>
      </c>
      <c r="C77" s="9">
        <v>46309</v>
      </c>
      <c r="D77" s="6" t="s">
        <v>15</v>
      </c>
      <c r="E77" s="6" t="s">
        <v>16</v>
      </c>
      <c r="F77" s="6" t="s">
        <v>29</v>
      </c>
      <c r="G77" s="5" t="s">
        <v>59</v>
      </c>
      <c r="H77" s="5" t="str">
        <f>_xlfn.XLOOKUP(G77,Staff_Lookup!$A$2:$A$7,Staff_Lookup!$B$2:$B$7,"Not Found")</f>
        <v>Jennifer Lee</v>
      </c>
      <c r="I77" s="7">
        <v>12</v>
      </c>
      <c r="J77" s="7">
        <v>9</v>
      </c>
      <c r="K77" s="7">
        <v>55</v>
      </c>
      <c r="L77" s="7">
        <v>78</v>
      </c>
      <c r="M77" s="8">
        <v>150</v>
      </c>
      <c r="N77" s="7">
        <v>3</v>
      </c>
      <c r="O77">
        <f t="shared" si="6"/>
        <v>23</v>
      </c>
      <c r="P77" s="4">
        <f t="shared" si="7"/>
        <v>0.75</v>
      </c>
      <c r="Q77" t="str">
        <f t="shared" si="8"/>
        <v>Needs Follow-Up</v>
      </c>
    </row>
    <row r="78" spans="1:17" x14ac:dyDescent="0.35">
      <c r="A78" s="5" t="s">
        <v>183</v>
      </c>
      <c r="B78" s="6" t="s">
        <v>184</v>
      </c>
      <c r="C78" s="9">
        <v>46310</v>
      </c>
      <c r="D78" s="6" t="s">
        <v>15</v>
      </c>
      <c r="E78" s="6" t="s">
        <v>16</v>
      </c>
      <c r="F78" s="6" t="s">
        <v>17</v>
      </c>
      <c r="G78" s="5" t="s">
        <v>34</v>
      </c>
      <c r="H78" s="5" t="str">
        <f>_xlfn.XLOOKUP(G78,Staff_Lookup!$A$2:$A$7,Staff_Lookup!$B$2:$B$7,"Not Found")</f>
        <v>Carlos Martinez</v>
      </c>
      <c r="I78" s="7">
        <v>8</v>
      </c>
      <c r="J78" s="7">
        <v>8</v>
      </c>
      <c r="K78" s="7">
        <v>66</v>
      </c>
      <c r="L78" s="7">
        <v>77</v>
      </c>
      <c r="M78" s="8">
        <v>150</v>
      </c>
      <c r="N78" s="7">
        <v>3</v>
      </c>
      <c r="O78">
        <f t="shared" si="6"/>
        <v>11</v>
      </c>
      <c r="P78" s="4">
        <f t="shared" si="7"/>
        <v>1</v>
      </c>
      <c r="Q78" t="str">
        <f t="shared" si="8"/>
        <v>Completed</v>
      </c>
    </row>
    <row r="79" spans="1:17" x14ac:dyDescent="0.35">
      <c r="A79" s="5" t="s">
        <v>185</v>
      </c>
      <c r="B79" s="6" t="s">
        <v>186</v>
      </c>
      <c r="C79" s="9">
        <v>46310</v>
      </c>
      <c r="D79" s="6" t="s">
        <v>27</v>
      </c>
      <c r="E79" s="6" t="s">
        <v>33</v>
      </c>
      <c r="F79" s="6" t="s">
        <v>23</v>
      </c>
      <c r="G79" s="5" t="s">
        <v>30</v>
      </c>
      <c r="H79" s="5" t="str">
        <f>_xlfn.XLOOKUP(G79,Staff_Lookup!$A$2:$A$7,Staff_Lookup!$B$2:$B$7,"Not Found")</f>
        <v>Priya Patel</v>
      </c>
      <c r="I79" s="7">
        <v>10</v>
      </c>
      <c r="J79" s="7">
        <v>9</v>
      </c>
      <c r="K79" s="7">
        <v>77</v>
      </c>
      <c r="L79" s="7">
        <v>95</v>
      </c>
      <c r="M79" s="8">
        <v>100</v>
      </c>
      <c r="N79" s="7">
        <v>4</v>
      </c>
      <c r="O79">
        <f t="shared" si="6"/>
        <v>18</v>
      </c>
      <c r="P79" s="4">
        <f t="shared" si="7"/>
        <v>0.9</v>
      </c>
      <c r="Q79" t="str">
        <f t="shared" si="8"/>
        <v>Completed</v>
      </c>
    </row>
    <row r="80" spans="1:17" x14ac:dyDescent="0.35">
      <c r="A80" s="5" t="s">
        <v>187</v>
      </c>
      <c r="B80" s="6" t="s">
        <v>188</v>
      </c>
      <c r="C80" s="9">
        <v>46311</v>
      </c>
      <c r="D80" s="6" t="s">
        <v>21</v>
      </c>
      <c r="E80" s="6" t="s">
        <v>28</v>
      </c>
      <c r="F80" s="6" t="s">
        <v>17</v>
      </c>
      <c r="G80" s="5" t="s">
        <v>30</v>
      </c>
      <c r="H80" s="5" t="str">
        <f>_xlfn.XLOOKUP(G80,Staff_Lookup!$A$2:$A$7,Staff_Lookup!$B$2:$B$7,"Not Found")</f>
        <v>Priya Patel</v>
      </c>
      <c r="I80" s="7">
        <v>8</v>
      </c>
      <c r="J80" s="7">
        <v>6</v>
      </c>
      <c r="K80" s="7">
        <v>58</v>
      </c>
      <c r="L80" s="7">
        <v>65</v>
      </c>
      <c r="M80" s="8">
        <v>125</v>
      </c>
      <c r="N80" s="7">
        <v>2</v>
      </c>
      <c r="O80">
        <f t="shared" si="6"/>
        <v>7</v>
      </c>
      <c r="P80" s="4">
        <f t="shared" si="7"/>
        <v>0.75</v>
      </c>
      <c r="Q80" t="str">
        <f t="shared" si="8"/>
        <v>Needs Follow-Up</v>
      </c>
    </row>
    <row r="81" spans="1:17" x14ac:dyDescent="0.35">
      <c r="A81" s="5" t="s">
        <v>189</v>
      </c>
      <c r="B81" s="6" t="s">
        <v>190</v>
      </c>
      <c r="C81" s="9">
        <v>46311</v>
      </c>
      <c r="D81" s="6" t="s">
        <v>15</v>
      </c>
      <c r="E81" s="6" t="s">
        <v>22</v>
      </c>
      <c r="F81" s="6" t="s">
        <v>23</v>
      </c>
      <c r="G81" s="5" t="s">
        <v>24</v>
      </c>
      <c r="H81" s="5" t="str">
        <f>_xlfn.XLOOKUP(G81,Staff_Lookup!$A$2:$A$7,Staff_Lookup!$B$2:$B$7,"Not Found")</f>
        <v>Michael Brown</v>
      </c>
      <c r="I81" s="7">
        <v>10</v>
      </c>
      <c r="J81" s="7">
        <v>7</v>
      </c>
      <c r="K81" s="7">
        <v>69</v>
      </c>
      <c r="L81" s="7">
        <v>83</v>
      </c>
      <c r="M81" s="8">
        <v>150</v>
      </c>
      <c r="N81" s="7">
        <v>4</v>
      </c>
      <c r="O81">
        <f t="shared" si="6"/>
        <v>14</v>
      </c>
      <c r="P81" s="4">
        <f t="shared" si="7"/>
        <v>0.7</v>
      </c>
      <c r="Q81" t="str">
        <f t="shared" si="8"/>
        <v>Needs Follow-Up</v>
      </c>
    </row>
    <row r="82" spans="1:17" x14ac:dyDescent="0.35">
      <c r="A82" s="5" t="s">
        <v>191</v>
      </c>
      <c r="B82" s="6" t="s">
        <v>192</v>
      </c>
      <c r="C82" s="9">
        <v>46312</v>
      </c>
      <c r="D82" s="6" t="s">
        <v>27</v>
      </c>
      <c r="E82" s="6" t="s">
        <v>16</v>
      </c>
      <c r="F82" s="6" t="s">
        <v>29</v>
      </c>
      <c r="G82" s="5" t="s">
        <v>18</v>
      </c>
      <c r="H82" s="5" t="str">
        <f>_xlfn.XLOOKUP(G82,Staff_Lookup!$A$2:$A$7,Staff_Lookup!$B$2:$B$7,"Not Found")</f>
        <v>Rachel Morgan</v>
      </c>
      <c r="I82" s="7">
        <v>12</v>
      </c>
      <c r="J82" s="7">
        <v>12</v>
      </c>
      <c r="K82" s="7">
        <v>49</v>
      </c>
      <c r="L82" s="7">
        <v>70</v>
      </c>
      <c r="M82" s="8">
        <v>100</v>
      </c>
      <c r="N82" s="7">
        <v>4</v>
      </c>
      <c r="O82">
        <f t="shared" si="6"/>
        <v>21</v>
      </c>
      <c r="P82" s="4">
        <f t="shared" si="7"/>
        <v>1</v>
      </c>
      <c r="Q82" t="str">
        <f t="shared" si="8"/>
        <v>Completed</v>
      </c>
    </row>
    <row r="83" spans="1:17" x14ac:dyDescent="0.35">
      <c r="A83" s="5" t="s">
        <v>193</v>
      </c>
      <c r="B83" s="6" t="s">
        <v>194</v>
      </c>
      <c r="C83" s="9">
        <v>46312</v>
      </c>
      <c r="D83" s="6" t="s">
        <v>21</v>
      </c>
      <c r="E83" s="6" t="s">
        <v>16</v>
      </c>
      <c r="F83" s="6" t="s">
        <v>17</v>
      </c>
      <c r="G83" s="5" t="s">
        <v>57</v>
      </c>
      <c r="H83" s="5" t="str">
        <f>_xlfn.XLOOKUP(G83,Staff_Lookup!$A$2:$A$7,Staff_Lookup!$B$2:$B$7,"Not Found")</f>
        <v>Ahmed Hassan</v>
      </c>
      <c r="I83" s="7">
        <v>8</v>
      </c>
      <c r="J83" s="7">
        <v>7</v>
      </c>
      <c r="K83" s="7">
        <v>61</v>
      </c>
      <c r="L83" s="7">
        <v>70</v>
      </c>
      <c r="M83" s="8">
        <v>125</v>
      </c>
      <c r="N83" s="7">
        <v>3</v>
      </c>
      <c r="O83">
        <f t="shared" si="6"/>
        <v>9</v>
      </c>
      <c r="P83" s="4">
        <f t="shared" si="7"/>
        <v>0.875</v>
      </c>
      <c r="Q83" t="str">
        <f t="shared" si="8"/>
        <v>Completed</v>
      </c>
    </row>
    <row r="84" spans="1:17" x14ac:dyDescent="0.35">
      <c r="A84" s="5" t="s">
        <v>195</v>
      </c>
      <c r="B84" s="6" t="s">
        <v>196</v>
      </c>
      <c r="C84" s="9">
        <v>46313</v>
      </c>
      <c r="D84" s="6" t="s">
        <v>15</v>
      </c>
      <c r="E84" s="6" t="s">
        <v>33</v>
      </c>
      <c r="F84" s="6" t="s">
        <v>29</v>
      </c>
      <c r="G84" s="5" t="s">
        <v>59</v>
      </c>
      <c r="H84" s="5" t="str">
        <f>_xlfn.XLOOKUP(G84,Staff_Lookup!$A$2:$A$7,Staff_Lookup!$B$2:$B$7,"Not Found")</f>
        <v>Jennifer Lee</v>
      </c>
      <c r="I84" s="7">
        <v>10</v>
      </c>
      <c r="J84" s="7">
        <v>8</v>
      </c>
      <c r="K84" s="7">
        <v>72</v>
      </c>
      <c r="L84" s="7">
        <v>88</v>
      </c>
      <c r="M84" s="8">
        <v>150</v>
      </c>
      <c r="N84" s="7">
        <v>4</v>
      </c>
      <c r="O84">
        <f t="shared" si="6"/>
        <v>16</v>
      </c>
      <c r="P84" s="4">
        <f t="shared" si="7"/>
        <v>0.8</v>
      </c>
      <c r="Q84" t="str">
        <f t="shared" si="8"/>
        <v>Completed</v>
      </c>
    </row>
    <row r="85" spans="1:17" x14ac:dyDescent="0.35">
      <c r="A85" s="5" t="s">
        <v>197</v>
      </c>
      <c r="B85" s="6" t="s">
        <v>198</v>
      </c>
      <c r="C85" s="9">
        <v>46313</v>
      </c>
      <c r="D85" s="6" t="s">
        <v>15</v>
      </c>
      <c r="E85" s="6" t="s">
        <v>28</v>
      </c>
      <c r="F85" s="6" t="s">
        <v>17</v>
      </c>
      <c r="G85" s="5" t="s">
        <v>34</v>
      </c>
      <c r="H85" s="5" t="str">
        <f>_xlfn.XLOOKUP(G85,Staff_Lookup!$A$2:$A$7,Staff_Lookup!$B$2:$B$7,"Not Found")</f>
        <v>Carlos Martinez</v>
      </c>
      <c r="I85" s="7">
        <v>12</v>
      </c>
      <c r="J85" s="7">
        <v>12</v>
      </c>
      <c r="K85" s="7">
        <v>52</v>
      </c>
      <c r="L85" s="7">
        <v>75</v>
      </c>
      <c r="M85" s="8">
        <v>150</v>
      </c>
      <c r="N85" s="7">
        <v>4</v>
      </c>
      <c r="O85">
        <f t="shared" si="6"/>
        <v>23</v>
      </c>
      <c r="P85" s="4">
        <f t="shared" si="7"/>
        <v>1</v>
      </c>
      <c r="Q85" t="str">
        <f t="shared" si="8"/>
        <v>Completed</v>
      </c>
    </row>
    <row r="86" spans="1:17" x14ac:dyDescent="0.35">
      <c r="A86" s="5" t="s">
        <v>199</v>
      </c>
      <c r="B86" s="6" t="s">
        <v>200</v>
      </c>
      <c r="C86" s="9">
        <v>46314</v>
      </c>
      <c r="D86" s="6" t="s">
        <v>27</v>
      </c>
      <c r="E86" s="6" t="s">
        <v>22</v>
      </c>
      <c r="F86" s="6" t="s">
        <v>23</v>
      </c>
      <c r="G86" s="5" t="s">
        <v>30</v>
      </c>
      <c r="H86" s="5" t="str">
        <f>_xlfn.XLOOKUP(G86,Staff_Lookup!$A$2:$A$7,Staff_Lookup!$B$2:$B$7,"Not Found")</f>
        <v>Priya Patel</v>
      </c>
      <c r="I86" s="7">
        <v>10</v>
      </c>
      <c r="J86" s="7">
        <v>9</v>
      </c>
      <c r="K86" s="7">
        <v>64</v>
      </c>
      <c r="L86" s="7">
        <v>75</v>
      </c>
      <c r="M86" s="8">
        <v>75</v>
      </c>
      <c r="N86" s="7">
        <v>4</v>
      </c>
      <c r="O86">
        <f t="shared" si="6"/>
        <v>11</v>
      </c>
      <c r="P86" s="4">
        <f t="shared" si="7"/>
        <v>0.9</v>
      </c>
      <c r="Q86" t="str">
        <f t="shared" si="8"/>
        <v>Completed</v>
      </c>
    </row>
    <row r="87" spans="1:17" x14ac:dyDescent="0.35">
      <c r="A87" s="5" t="s">
        <v>201</v>
      </c>
      <c r="B87" s="6" t="s">
        <v>202</v>
      </c>
      <c r="C87" s="9">
        <v>46314</v>
      </c>
      <c r="D87" s="6" t="s">
        <v>21</v>
      </c>
      <c r="E87" s="6" t="s">
        <v>16</v>
      </c>
      <c r="F87" s="6" t="s">
        <v>29</v>
      </c>
      <c r="G87" s="5" t="s">
        <v>24</v>
      </c>
      <c r="H87" s="5" t="str">
        <f>_xlfn.XLOOKUP(G87,Staff_Lookup!$A$2:$A$7,Staff_Lookup!$B$2:$B$7,"Not Found")</f>
        <v>Michael Brown</v>
      </c>
      <c r="I87" s="7">
        <v>12</v>
      </c>
      <c r="J87" s="7">
        <v>10</v>
      </c>
      <c r="K87" s="7">
        <v>75</v>
      </c>
      <c r="L87" s="7">
        <v>93</v>
      </c>
      <c r="M87" s="8">
        <v>125</v>
      </c>
      <c r="N87" s="7">
        <v>4</v>
      </c>
      <c r="O87">
        <f t="shared" si="6"/>
        <v>18</v>
      </c>
      <c r="P87" s="4">
        <f t="shared" si="7"/>
        <v>0.83333333333333337</v>
      </c>
      <c r="Q87" t="str">
        <f t="shared" si="8"/>
        <v>Completed</v>
      </c>
    </row>
    <row r="88" spans="1:17" x14ac:dyDescent="0.35">
      <c r="A88" s="5" t="s">
        <v>203</v>
      </c>
      <c r="B88" s="6" t="s">
        <v>204</v>
      </c>
      <c r="C88" s="9">
        <v>46315</v>
      </c>
      <c r="D88" s="6" t="s">
        <v>15</v>
      </c>
      <c r="E88" s="6" t="s">
        <v>16</v>
      </c>
      <c r="F88" s="6" t="s">
        <v>23</v>
      </c>
      <c r="G88" s="5" t="s">
        <v>18</v>
      </c>
      <c r="H88" s="5" t="str">
        <f>_xlfn.XLOOKUP(G88,Staff_Lookup!$A$2:$A$7,Staff_Lookup!$B$2:$B$7,"Not Found")</f>
        <v>Rachel Morgan</v>
      </c>
      <c r="I88" s="7">
        <v>8</v>
      </c>
      <c r="J88" s="7">
        <v>5</v>
      </c>
      <c r="K88" s="7">
        <v>55</v>
      </c>
      <c r="L88" s="7">
        <v>62</v>
      </c>
      <c r="M88" s="8">
        <v>150</v>
      </c>
      <c r="N88" s="7">
        <v>2</v>
      </c>
      <c r="O88">
        <f t="shared" si="6"/>
        <v>7</v>
      </c>
      <c r="P88" s="4">
        <f t="shared" si="7"/>
        <v>0.625</v>
      </c>
      <c r="Q88" t="str">
        <f t="shared" si="8"/>
        <v>Needs Follow-Up</v>
      </c>
    </row>
    <row r="89" spans="1:17" x14ac:dyDescent="0.35">
      <c r="A89" s="5" t="s">
        <v>205</v>
      </c>
      <c r="B89" s="6" t="s">
        <v>206</v>
      </c>
      <c r="C89" s="9">
        <v>46315</v>
      </c>
      <c r="D89" s="6" t="s">
        <v>27</v>
      </c>
      <c r="E89" s="6" t="s">
        <v>33</v>
      </c>
      <c r="F89" s="6" t="s">
        <v>29</v>
      </c>
      <c r="G89" s="5" t="s">
        <v>18</v>
      </c>
      <c r="H89" s="5" t="str">
        <f>_xlfn.XLOOKUP(G89,Staff_Lookup!$A$2:$A$7,Staff_Lookup!$B$2:$B$7,"Not Found")</f>
        <v>Rachel Morgan</v>
      </c>
      <c r="I89" s="7">
        <v>10</v>
      </c>
      <c r="J89" s="7">
        <v>10</v>
      </c>
      <c r="K89" s="7">
        <v>67</v>
      </c>
      <c r="L89" s="7">
        <v>81</v>
      </c>
      <c r="M89" s="8">
        <v>100</v>
      </c>
      <c r="N89" s="7">
        <v>4</v>
      </c>
      <c r="O89">
        <f t="shared" si="6"/>
        <v>14</v>
      </c>
      <c r="P89" s="4">
        <f t="shared" si="7"/>
        <v>1</v>
      </c>
      <c r="Q89" t="str">
        <f t="shared" si="8"/>
        <v>Completed</v>
      </c>
    </row>
    <row r="90" spans="1:17" x14ac:dyDescent="0.35">
      <c r="A90" s="5" t="s">
        <v>207</v>
      </c>
      <c r="B90" s="6" t="s">
        <v>208</v>
      </c>
      <c r="C90" s="9">
        <v>46316</v>
      </c>
      <c r="D90" s="6" t="s">
        <v>21</v>
      </c>
      <c r="E90" s="6" t="s">
        <v>28</v>
      </c>
      <c r="F90" s="6" t="s">
        <v>17</v>
      </c>
      <c r="G90" s="5" t="s">
        <v>57</v>
      </c>
      <c r="H90" s="5" t="str">
        <f>_xlfn.XLOOKUP(G90,Staff_Lookup!$A$2:$A$7,Staff_Lookup!$B$2:$B$7,"Not Found")</f>
        <v>Ahmed Hassan</v>
      </c>
      <c r="I90" s="7">
        <v>12</v>
      </c>
      <c r="J90" s="7">
        <v>11</v>
      </c>
      <c r="K90" s="7">
        <v>78</v>
      </c>
      <c r="L90" s="7">
        <v>98</v>
      </c>
      <c r="M90" s="8">
        <v>125</v>
      </c>
      <c r="N90" s="7">
        <v>4</v>
      </c>
      <c r="O90">
        <f t="shared" si="6"/>
        <v>20</v>
      </c>
      <c r="P90" s="4">
        <f t="shared" si="7"/>
        <v>0.91666666666666663</v>
      </c>
      <c r="Q90" t="str">
        <f t="shared" si="8"/>
        <v>Completed</v>
      </c>
    </row>
    <row r="91" spans="1:17" x14ac:dyDescent="0.35">
      <c r="A91" s="5" t="s">
        <v>209</v>
      </c>
      <c r="B91" s="6" t="s">
        <v>210</v>
      </c>
      <c r="C91" s="9">
        <v>46316</v>
      </c>
      <c r="D91" s="6" t="s">
        <v>15</v>
      </c>
      <c r="E91" s="6" t="s">
        <v>22</v>
      </c>
      <c r="F91" s="6" t="s">
        <v>23</v>
      </c>
      <c r="G91" s="5" t="s">
        <v>59</v>
      </c>
      <c r="H91" s="5" t="str">
        <f>_xlfn.XLOOKUP(G91,Staff_Lookup!$A$2:$A$7,Staff_Lookup!$B$2:$B$7,"Not Found")</f>
        <v>Jennifer Lee</v>
      </c>
      <c r="I91" s="7">
        <v>8</v>
      </c>
      <c r="J91" s="7">
        <v>6</v>
      </c>
      <c r="K91" s="7">
        <v>58</v>
      </c>
      <c r="L91" s="7">
        <v>67</v>
      </c>
      <c r="M91" s="8">
        <v>150</v>
      </c>
      <c r="N91" s="7">
        <v>3</v>
      </c>
      <c r="O91">
        <f t="shared" si="6"/>
        <v>9</v>
      </c>
      <c r="P91" s="4">
        <f t="shared" si="7"/>
        <v>0.75</v>
      </c>
      <c r="Q91" t="str">
        <f t="shared" si="8"/>
        <v>Needs Follow-Up</v>
      </c>
    </row>
    <row r="92" spans="1:17" x14ac:dyDescent="0.35">
      <c r="A92" s="5" t="s">
        <v>211</v>
      </c>
      <c r="B92" s="6" t="s">
        <v>212</v>
      </c>
      <c r="C92" s="9">
        <v>46317</v>
      </c>
      <c r="D92" s="6" t="s">
        <v>15</v>
      </c>
      <c r="E92" s="6" t="s">
        <v>16</v>
      </c>
      <c r="F92" s="6" t="s">
        <v>17</v>
      </c>
      <c r="G92" s="5" t="s">
        <v>34</v>
      </c>
      <c r="H92" s="5" t="str">
        <f>_xlfn.XLOOKUP(G92,Staff_Lookup!$A$2:$A$7,Staff_Lookup!$B$2:$B$7,"Not Found")</f>
        <v>Carlos Martinez</v>
      </c>
      <c r="I92" s="7">
        <v>12</v>
      </c>
      <c r="J92" s="7">
        <v>9</v>
      </c>
      <c r="K92" s="7">
        <v>70</v>
      </c>
      <c r="L92" s="7">
        <v>86</v>
      </c>
      <c r="M92" s="8">
        <v>150</v>
      </c>
      <c r="N92" s="7">
        <v>3</v>
      </c>
      <c r="O92">
        <f t="shared" si="6"/>
        <v>16</v>
      </c>
      <c r="P92" s="4">
        <f t="shared" si="7"/>
        <v>0.75</v>
      </c>
      <c r="Q92" t="str">
        <f t="shared" si="8"/>
        <v>Needs Follow-Up</v>
      </c>
    </row>
    <row r="93" spans="1:17" x14ac:dyDescent="0.35">
      <c r="A93" s="5" t="s">
        <v>213</v>
      </c>
      <c r="B93" s="6" t="s">
        <v>214</v>
      </c>
      <c r="C93" s="9">
        <v>46317</v>
      </c>
      <c r="D93" s="6" t="s">
        <v>27</v>
      </c>
      <c r="E93" s="6" t="s">
        <v>16</v>
      </c>
      <c r="F93" s="6" t="s">
        <v>23</v>
      </c>
      <c r="G93" s="5" t="s">
        <v>30</v>
      </c>
      <c r="H93" s="5" t="str">
        <f>_xlfn.XLOOKUP(G93,Staff_Lookup!$A$2:$A$7,Staff_Lookup!$B$2:$B$7,"Not Found")</f>
        <v>Priya Patel</v>
      </c>
      <c r="I93" s="7">
        <v>8</v>
      </c>
      <c r="J93" s="7">
        <v>8</v>
      </c>
      <c r="K93" s="7">
        <v>50</v>
      </c>
      <c r="L93" s="7">
        <v>73</v>
      </c>
      <c r="M93" s="8">
        <v>100</v>
      </c>
      <c r="N93" s="7">
        <v>4</v>
      </c>
      <c r="O93">
        <f t="shared" si="6"/>
        <v>23</v>
      </c>
      <c r="P93" s="4">
        <f t="shared" si="7"/>
        <v>1</v>
      </c>
      <c r="Q93" t="str">
        <f t="shared" si="8"/>
        <v>Completed</v>
      </c>
    </row>
    <row r="94" spans="1:17" x14ac:dyDescent="0.35">
      <c r="A94" s="5" t="s">
        <v>215</v>
      </c>
      <c r="B94" s="6" t="s">
        <v>216</v>
      </c>
      <c r="C94" s="9">
        <v>46318</v>
      </c>
      <c r="D94" s="6" t="s">
        <v>21</v>
      </c>
      <c r="E94" s="6" t="s">
        <v>33</v>
      </c>
      <c r="F94" s="6" t="s">
        <v>29</v>
      </c>
      <c r="G94" s="5" t="s">
        <v>24</v>
      </c>
      <c r="H94" s="5" t="str">
        <f>_xlfn.XLOOKUP(G94,Staff_Lookup!$A$2:$A$7,Staff_Lookup!$B$2:$B$7,"Not Found")</f>
        <v>Michael Brown</v>
      </c>
      <c r="I94" s="7">
        <v>10</v>
      </c>
      <c r="J94" s="7">
        <v>9</v>
      </c>
      <c r="K94" s="7">
        <v>61</v>
      </c>
      <c r="L94" s="7">
        <v>72</v>
      </c>
      <c r="M94" s="8">
        <v>125</v>
      </c>
      <c r="N94" s="7">
        <v>3</v>
      </c>
      <c r="O94">
        <f t="shared" si="6"/>
        <v>11</v>
      </c>
      <c r="P94" s="4">
        <f t="shared" si="7"/>
        <v>0.9</v>
      </c>
      <c r="Q94" t="str">
        <f t="shared" si="8"/>
        <v>Completed</v>
      </c>
    </row>
    <row r="95" spans="1:17" x14ac:dyDescent="0.35">
      <c r="A95" s="5" t="s">
        <v>217</v>
      </c>
      <c r="B95" s="6" t="s">
        <v>218</v>
      </c>
      <c r="C95" s="9">
        <v>46318</v>
      </c>
      <c r="D95" s="6" t="s">
        <v>15</v>
      </c>
      <c r="E95" s="6" t="s">
        <v>28</v>
      </c>
      <c r="F95" s="6" t="s">
        <v>17</v>
      </c>
      <c r="G95" s="5" t="s">
        <v>18</v>
      </c>
      <c r="H95" s="5" t="str">
        <f>_xlfn.XLOOKUP(G95,Staff_Lookup!$A$2:$A$7,Staff_Lookup!$B$2:$B$7,"Not Found")</f>
        <v>Rachel Morgan</v>
      </c>
      <c r="I95" s="7">
        <v>12</v>
      </c>
      <c r="J95" s="7">
        <v>10</v>
      </c>
      <c r="K95" s="7">
        <v>73</v>
      </c>
      <c r="L95" s="7">
        <v>91</v>
      </c>
      <c r="M95" s="8">
        <v>150</v>
      </c>
      <c r="N95" s="7">
        <v>4</v>
      </c>
      <c r="O95">
        <f t="shared" si="6"/>
        <v>18</v>
      </c>
      <c r="P95" s="4">
        <f t="shared" si="7"/>
        <v>0.83333333333333337</v>
      </c>
      <c r="Q95" t="str">
        <f t="shared" si="8"/>
        <v>Completed</v>
      </c>
    </row>
    <row r="96" spans="1:17" x14ac:dyDescent="0.35">
      <c r="A96" s="5" t="s">
        <v>219</v>
      </c>
      <c r="B96" s="6" t="s">
        <v>220</v>
      </c>
      <c r="C96" s="9">
        <v>46319</v>
      </c>
      <c r="D96" s="6" t="s">
        <v>27</v>
      </c>
      <c r="E96" s="6" t="s">
        <v>22</v>
      </c>
      <c r="F96" s="6" t="s">
        <v>29</v>
      </c>
      <c r="G96" s="5" t="s">
        <v>57</v>
      </c>
      <c r="H96" s="5" t="str">
        <f>_xlfn.XLOOKUP(G96,Staff_Lookup!$A$2:$A$7,Staff_Lookup!$B$2:$B$7,"Not Found")</f>
        <v>Ahmed Hassan</v>
      </c>
      <c r="I96" s="7">
        <v>8</v>
      </c>
      <c r="J96" s="7">
        <v>8</v>
      </c>
      <c r="K96" s="7">
        <v>53</v>
      </c>
      <c r="L96" s="7">
        <v>60</v>
      </c>
      <c r="M96" s="8">
        <v>100</v>
      </c>
      <c r="N96" s="7">
        <v>4</v>
      </c>
      <c r="O96">
        <f t="shared" si="6"/>
        <v>7</v>
      </c>
      <c r="P96" s="4">
        <f t="shared" si="7"/>
        <v>1</v>
      </c>
      <c r="Q96" t="str">
        <f t="shared" si="8"/>
        <v>Completed</v>
      </c>
    </row>
    <row r="97" spans="1:17" x14ac:dyDescent="0.35">
      <c r="A97" s="5" t="s">
        <v>221</v>
      </c>
      <c r="B97" s="6" t="s">
        <v>222</v>
      </c>
      <c r="C97" s="9">
        <v>46319</v>
      </c>
      <c r="D97" s="6" t="s">
        <v>21</v>
      </c>
      <c r="E97" s="6" t="s">
        <v>16</v>
      </c>
      <c r="F97" s="6" t="s">
        <v>17</v>
      </c>
      <c r="G97" s="5" t="s">
        <v>59</v>
      </c>
      <c r="H97" s="5" t="str">
        <f>_xlfn.XLOOKUP(G97,Staff_Lookup!$A$2:$A$7,Staff_Lookup!$B$2:$B$7,"Not Found")</f>
        <v>Jennifer Lee</v>
      </c>
      <c r="I97" s="7">
        <v>10</v>
      </c>
      <c r="J97" s="7">
        <v>9</v>
      </c>
      <c r="K97" s="7">
        <v>64</v>
      </c>
      <c r="L97" s="7">
        <v>78</v>
      </c>
      <c r="M97" s="8">
        <v>125</v>
      </c>
      <c r="N97" s="7">
        <v>4</v>
      </c>
      <c r="O97">
        <f t="shared" si="6"/>
        <v>14</v>
      </c>
      <c r="P97" s="4">
        <f t="shared" si="7"/>
        <v>0.9</v>
      </c>
      <c r="Q97" t="str">
        <f t="shared" si="8"/>
        <v>Completed</v>
      </c>
    </row>
    <row r="98" spans="1:17" x14ac:dyDescent="0.35">
      <c r="A98" s="5" t="s">
        <v>223</v>
      </c>
      <c r="B98" s="6" t="s">
        <v>224</v>
      </c>
      <c r="C98" s="9">
        <v>46320</v>
      </c>
      <c r="D98" s="6" t="s">
        <v>15</v>
      </c>
      <c r="E98" s="6" t="s">
        <v>16</v>
      </c>
      <c r="F98" s="6" t="s">
        <v>23</v>
      </c>
      <c r="G98" s="5" t="s">
        <v>59</v>
      </c>
      <c r="H98" s="5" t="str">
        <f>_xlfn.XLOOKUP(G98,Staff_Lookup!$A$2:$A$7,Staff_Lookup!$B$2:$B$7,"Not Found")</f>
        <v>Jennifer Lee</v>
      </c>
      <c r="I98" s="7">
        <v>8</v>
      </c>
      <c r="J98" s="7">
        <v>6</v>
      </c>
      <c r="K98" s="7">
        <v>76</v>
      </c>
      <c r="L98" s="7">
        <v>97</v>
      </c>
      <c r="M98" s="8">
        <v>150</v>
      </c>
      <c r="N98" s="7">
        <v>3</v>
      </c>
      <c r="O98">
        <f t="shared" ref="O98:O129" si="9">L98-K98</f>
        <v>21</v>
      </c>
      <c r="P98" s="4">
        <f t="shared" ref="P98:P129" si="10">J98/I98</f>
        <v>0.75</v>
      </c>
      <c r="Q98" t="str">
        <f t="shared" ref="Q98:Q129" si="11">IF(P98&gt;=$T$15, "Completed", "Needs Follow-Up")</f>
        <v>Needs Follow-Up</v>
      </c>
    </row>
    <row r="99" spans="1:17" x14ac:dyDescent="0.35">
      <c r="A99" s="5" t="s">
        <v>225</v>
      </c>
      <c r="B99" s="6" t="s">
        <v>226</v>
      </c>
      <c r="C99" s="9">
        <v>46320</v>
      </c>
      <c r="D99" s="6" t="s">
        <v>15</v>
      </c>
      <c r="E99" s="6" t="s">
        <v>33</v>
      </c>
      <c r="F99" s="6" t="s">
        <v>29</v>
      </c>
      <c r="G99" s="5" t="s">
        <v>34</v>
      </c>
      <c r="H99" s="5" t="str">
        <f>_xlfn.XLOOKUP(G99,Staff_Lookup!$A$2:$A$7,Staff_Lookup!$B$2:$B$7,"Not Found")</f>
        <v>Carlos Martinez</v>
      </c>
      <c r="I99" s="7">
        <v>10</v>
      </c>
      <c r="J99" s="7">
        <v>7</v>
      </c>
      <c r="K99" s="7">
        <v>56</v>
      </c>
      <c r="L99" s="7">
        <v>65</v>
      </c>
      <c r="M99" s="8">
        <v>150</v>
      </c>
      <c r="N99" s="7">
        <v>2</v>
      </c>
      <c r="O99">
        <f t="shared" si="9"/>
        <v>9</v>
      </c>
      <c r="P99" s="4">
        <f t="shared" si="10"/>
        <v>0.7</v>
      </c>
      <c r="Q99" t="str">
        <f t="shared" si="11"/>
        <v>Needs Follow-Up</v>
      </c>
    </row>
    <row r="100" spans="1:17" x14ac:dyDescent="0.35">
      <c r="A100" s="5" t="s">
        <v>227</v>
      </c>
      <c r="B100" s="6" t="s">
        <v>228</v>
      </c>
      <c r="C100" s="9">
        <v>46321</v>
      </c>
      <c r="D100" s="6" t="s">
        <v>27</v>
      </c>
      <c r="E100" s="6" t="s">
        <v>28</v>
      </c>
      <c r="F100" s="6" t="s">
        <v>23</v>
      </c>
      <c r="G100" s="5" t="s">
        <v>30</v>
      </c>
      <c r="H100" s="5" t="str">
        <f>_xlfn.XLOOKUP(G100,Staff_Lookup!$A$2:$A$7,Staff_Lookup!$B$2:$B$7,"Not Found")</f>
        <v>Priya Patel</v>
      </c>
      <c r="I100" s="7">
        <v>12</v>
      </c>
      <c r="J100" s="7">
        <v>12</v>
      </c>
      <c r="K100" s="7">
        <v>67</v>
      </c>
      <c r="L100" s="7">
        <v>83</v>
      </c>
      <c r="M100" s="8">
        <v>100</v>
      </c>
      <c r="N100" s="7">
        <v>4</v>
      </c>
      <c r="O100">
        <f t="shared" si="9"/>
        <v>16</v>
      </c>
      <c r="P100" s="4">
        <f t="shared" si="10"/>
        <v>1</v>
      </c>
      <c r="Q100" t="str">
        <f t="shared" si="11"/>
        <v>Completed</v>
      </c>
    </row>
    <row r="101" spans="1:17" x14ac:dyDescent="0.35">
      <c r="A101" s="5" t="s">
        <v>229</v>
      </c>
      <c r="B101" s="6" t="s">
        <v>230</v>
      </c>
      <c r="C101" s="9">
        <v>46321</v>
      </c>
      <c r="D101" s="6" t="s">
        <v>21</v>
      </c>
      <c r="E101" s="6" t="s">
        <v>22</v>
      </c>
      <c r="F101" s="6" t="s">
        <v>29</v>
      </c>
      <c r="G101" s="5" t="s">
        <v>24</v>
      </c>
      <c r="H101" s="5" t="str">
        <f>_xlfn.XLOOKUP(G101,Staff_Lookup!$A$2:$A$7,Staff_Lookup!$B$2:$B$7,"Not Found")</f>
        <v>Michael Brown</v>
      </c>
      <c r="I101" s="7">
        <v>8</v>
      </c>
      <c r="J101" s="7">
        <v>7</v>
      </c>
      <c r="K101" s="7">
        <v>48</v>
      </c>
      <c r="L101" s="7">
        <v>71</v>
      </c>
      <c r="M101" s="8">
        <v>125</v>
      </c>
      <c r="N101" s="7">
        <v>5</v>
      </c>
      <c r="O101">
        <f t="shared" si="9"/>
        <v>23</v>
      </c>
      <c r="P101" s="4">
        <f t="shared" si="10"/>
        <v>0.875</v>
      </c>
      <c r="Q101" t="str">
        <f t="shared" si="11"/>
        <v>Completed</v>
      </c>
    </row>
    <row r="102" spans="1:17" x14ac:dyDescent="0.35">
      <c r="A102" s="5" t="s">
        <v>231</v>
      </c>
      <c r="B102" s="6" t="s">
        <v>232</v>
      </c>
      <c r="C102" s="9">
        <v>46322</v>
      </c>
      <c r="D102" s="6" t="s">
        <v>15</v>
      </c>
      <c r="E102" s="6" t="s">
        <v>16</v>
      </c>
      <c r="F102" s="6" t="s">
        <v>17</v>
      </c>
      <c r="G102" s="5" t="s">
        <v>18</v>
      </c>
      <c r="H102" s="5" t="str">
        <f>_xlfn.XLOOKUP(G102,Staff_Lookup!$A$2:$A$7,Staff_Lookup!$B$2:$B$7,"Not Found")</f>
        <v>Rachel Morgan</v>
      </c>
      <c r="I102" s="7">
        <v>10</v>
      </c>
      <c r="J102" s="7">
        <v>8</v>
      </c>
      <c r="K102" s="7">
        <v>59</v>
      </c>
      <c r="L102" s="7">
        <v>70</v>
      </c>
      <c r="M102" s="8">
        <v>150</v>
      </c>
      <c r="N102" s="7">
        <v>3</v>
      </c>
      <c r="O102">
        <f t="shared" si="9"/>
        <v>11</v>
      </c>
      <c r="P102" s="4">
        <f t="shared" si="10"/>
        <v>0.8</v>
      </c>
      <c r="Q102" t="str">
        <f t="shared" si="11"/>
        <v>Completed</v>
      </c>
    </row>
    <row r="103" spans="1:17" x14ac:dyDescent="0.35">
      <c r="A103" s="5" t="s">
        <v>233</v>
      </c>
      <c r="B103" s="6" t="s">
        <v>234</v>
      </c>
      <c r="C103" s="9">
        <v>46322</v>
      </c>
      <c r="D103" s="6" t="s">
        <v>27</v>
      </c>
      <c r="E103" s="6" t="s">
        <v>16</v>
      </c>
      <c r="F103" s="6" t="s">
        <v>23</v>
      </c>
      <c r="G103" s="5" t="s">
        <v>57</v>
      </c>
      <c r="H103" s="5" t="str">
        <f>_xlfn.XLOOKUP(G103,Staff_Lookup!$A$2:$A$7,Staff_Lookup!$B$2:$B$7,"Not Found")</f>
        <v>Ahmed Hassan</v>
      </c>
      <c r="I103" s="7">
        <v>12</v>
      </c>
      <c r="J103" s="7">
        <v>9</v>
      </c>
      <c r="K103" s="7">
        <v>70</v>
      </c>
      <c r="L103" s="7">
        <v>88</v>
      </c>
      <c r="M103" s="8">
        <v>75</v>
      </c>
      <c r="N103" s="7">
        <v>3</v>
      </c>
      <c r="O103">
        <f t="shared" si="9"/>
        <v>18</v>
      </c>
      <c r="P103" s="4">
        <f t="shared" si="10"/>
        <v>0.75</v>
      </c>
      <c r="Q103" t="str">
        <f t="shared" si="11"/>
        <v>Needs Follow-Up</v>
      </c>
    </row>
    <row r="104" spans="1:17" x14ac:dyDescent="0.35">
      <c r="A104" s="5" t="s">
        <v>235</v>
      </c>
      <c r="B104" s="6" t="s">
        <v>236</v>
      </c>
      <c r="C104" s="9">
        <v>46323</v>
      </c>
      <c r="D104" s="6" t="s">
        <v>21</v>
      </c>
      <c r="E104" s="6" t="s">
        <v>33</v>
      </c>
      <c r="F104" s="6" t="s">
        <v>17</v>
      </c>
      <c r="G104" s="5" t="s">
        <v>59</v>
      </c>
      <c r="H104" s="5" t="str">
        <f>_xlfn.XLOOKUP(G104,Staff_Lookup!$A$2:$A$7,Staff_Lookup!$B$2:$B$7,"Not Found")</f>
        <v>Jennifer Lee</v>
      </c>
      <c r="I104" s="7">
        <v>10</v>
      </c>
      <c r="J104" s="7">
        <v>10</v>
      </c>
      <c r="K104" s="7">
        <v>51</v>
      </c>
      <c r="L104" s="7">
        <v>58</v>
      </c>
      <c r="M104" s="8">
        <v>125</v>
      </c>
      <c r="N104" s="7">
        <v>3</v>
      </c>
      <c r="O104">
        <f t="shared" si="9"/>
        <v>7</v>
      </c>
      <c r="P104" s="4">
        <f t="shared" si="10"/>
        <v>1</v>
      </c>
      <c r="Q104" t="str">
        <f t="shared" si="11"/>
        <v>Completed</v>
      </c>
    </row>
    <row r="105" spans="1:17" x14ac:dyDescent="0.35">
      <c r="A105" s="5" t="s">
        <v>237</v>
      </c>
      <c r="B105" s="6" t="s">
        <v>238</v>
      </c>
      <c r="C105" s="9">
        <v>46323</v>
      </c>
      <c r="D105" s="6" t="s">
        <v>15</v>
      </c>
      <c r="E105" s="6" t="s">
        <v>28</v>
      </c>
      <c r="F105" s="6" t="s">
        <v>23</v>
      </c>
      <c r="G105" s="5" t="s">
        <v>34</v>
      </c>
      <c r="H105" s="5" t="str">
        <f>_xlfn.XLOOKUP(G105,Staff_Lookup!$A$2:$A$7,Staff_Lookup!$B$2:$B$7,"Not Found")</f>
        <v>Carlos Martinez</v>
      </c>
      <c r="I105" s="7">
        <v>12</v>
      </c>
      <c r="J105" s="7">
        <v>11</v>
      </c>
      <c r="K105" s="7">
        <v>62</v>
      </c>
      <c r="L105" s="7">
        <v>76</v>
      </c>
      <c r="M105" s="8">
        <v>150</v>
      </c>
      <c r="N105" s="7">
        <v>4</v>
      </c>
      <c r="O105">
        <f t="shared" si="9"/>
        <v>14</v>
      </c>
      <c r="P105" s="4">
        <f t="shared" si="10"/>
        <v>0.91666666666666663</v>
      </c>
      <c r="Q105" t="str">
        <f t="shared" si="11"/>
        <v>Completed</v>
      </c>
    </row>
    <row r="106" spans="1:17" x14ac:dyDescent="0.35">
      <c r="A106" s="5" t="s">
        <v>239</v>
      </c>
      <c r="B106" s="6" t="s">
        <v>240</v>
      </c>
      <c r="C106" s="9">
        <v>46324</v>
      </c>
      <c r="D106" s="6" t="s">
        <v>15</v>
      </c>
      <c r="E106" s="6" t="s">
        <v>22</v>
      </c>
      <c r="F106" s="6" t="s">
        <v>29</v>
      </c>
      <c r="G106" s="5" t="s">
        <v>30</v>
      </c>
      <c r="H106" s="5" t="str">
        <f>_xlfn.XLOOKUP(G106,Staff_Lookup!$A$2:$A$7,Staff_Lookup!$B$2:$B$7,"Not Found")</f>
        <v>Priya Patel</v>
      </c>
      <c r="I106" s="7">
        <v>8</v>
      </c>
      <c r="J106" s="7">
        <v>6</v>
      </c>
      <c r="K106" s="7">
        <v>73</v>
      </c>
      <c r="L106" s="7">
        <v>94</v>
      </c>
      <c r="M106" s="8">
        <v>150</v>
      </c>
      <c r="N106" s="7">
        <v>4</v>
      </c>
      <c r="O106">
        <f t="shared" si="9"/>
        <v>21</v>
      </c>
      <c r="P106" s="4">
        <f t="shared" si="10"/>
        <v>0.75</v>
      </c>
      <c r="Q106" t="str">
        <f t="shared" si="11"/>
        <v>Needs Follow-Up</v>
      </c>
    </row>
    <row r="107" spans="1:17" x14ac:dyDescent="0.35">
      <c r="A107" s="5" t="s">
        <v>241</v>
      </c>
      <c r="B107" s="6" t="s">
        <v>242</v>
      </c>
      <c r="C107" s="9">
        <v>46324</v>
      </c>
      <c r="D107" s="6" t="s">
        <v>27</v>
      </c>
      <c r="E107" s="6" t="s">
        <v>16</v>
      </c>
      <c r="F107" s="6" t="s">
        <v>17</v>
      </c>
      <c r="G107" s="5" t="s">
        <v>30</v>
      </c>
      <c r="H107" s="5" t="str">
        <f>_xlfn.XLOOKUP(G107,Staff_Lookup!$A$2:$A$7,Staff_Lookup!$B$2:$B$7,"Not Found")</f>
        <v>Priya Patel</v>
      </c>
      <c r="I107" s="7">
        <v>10</v>
      </c>
      <c r="J107" s="7">
        <v>10</v>
      </c>
      <c r="K107" s="7">
        <v>54</v>
      </c>
      <c r="L107" s="7">
        <v>63</v>
      </c>
      <c r="M107" s="8">
        <v>100</v>
      </c>
      <c r="N107" s="7">
        <v>3</v>
      </c>
      <c r="O107">
        <f t="shared" si="9"/>
        <v>9</v>
      </c>
      <c r="P107" s="4">
        <f t="shared" si="10"/>
        <v>1</v>
      </c>
      <c r="Q107" t="str">
        <f t="shared" si="11"/>
        <v>Completed</v>
      </c>
    </row>
    <row r="108" spans="1:17" x14ac:dyDescent="0.35">
      <c r="A108" s="5" t="s">
        <v>243</v>
      </c>
      <c r="B108" s="6" t="s">
        <v>244</v>
      </c>
      <c r="C108" s="9">
        <v>46325</v>
      </c>
      <c r="D108" s="6" t="s">
        <v>21</v>
      </c>
      <c r="E108" s="6" t="s">
        <v>16</v>
      </c>
      <c r="F108" s="6" t="s">
        <v>29</v>
      </c>
      <c r="G108" s="5" t="s">
        <v>24</v>
      </c>
      <c r="H108" s="5" t="str">
        <f>_xlfn.XLOOKUP(G108,Staff_Lookup!$A$2:$A$7,Staff_Lookup!$B$2:$B$7,"Not Found")</f>
        <v>Michael Brown</v>
      </c>
      <c r="I108" s="7">
        <v>12</v>
      </c>
      <c r="J108" s="7">
        <v>11</v>
      </c>
      <c r="K108" s="7">
        <v>65</v>
      </c>
      <c r="L108" s="7">
        <v>81</v>
      </c>
      <c r="M108" s="8">
        <v>125</v>
      </c>
      <c r="N108" s="7">
        <v>4</v>
      </c>
      <c r="O108">
        <f t="shared" si="9"/>
        <v>16</v>
      </c>
      <c r="P108" s="4">
        <f t="shared" si="10"/>
        <v>0.91666666666666663</v>
      </c>
      <c r="Q108" t="str">
        <f t="shared" si="11"/>
        <v>Completed</v>
      </c>
    </row>
    <row r="109" spans="1:17" x14ac:dyDescent="0.35">
      <c r="A109" s="5" t="s">
        <v>245</v>
      </c>
      <c r="B109" s="6" t="s">
        <v>246</v>
      </c>
      <c r="C109" s="9">
        <v>46325</v>
      </c>
      <c r="D109" s="6" t="s">
        <v>15</v>
      </c>
      <c r="E109" s="6" t="s">
        <v>33</v>
      </c>
      <c r="F109" s="6" t="s">
        <v>17</v>
      </c>
      <c r="G109" s="5" t="s">
        <v>18</v>
      </c>
      <c r="H109" s="5" t="str">
        <f>_xlfn.XLOOKUP(G109,Staff_Lookup!$A$2:$A$7,Staff_Lookup!$B$2:$B$7,"Not Found")</f>
        <v>Rachel Morgan</v>
      </c>
      <c r="I109" s="7">
        <v>8</v>
      </c>
      <c r="J109" s="7">
        <v>6</v>
      </c>
      <c r="K109" s="7">
        <v>76</v>
      </c>
      <c r="L109" s="7">
        <v>98</v>
      </c>
      <c r="M109" s="8">
        <v>150</v>
      </c>
      <c r="N109" s="7">
        <v>3</v>
      </c>
      <c r="O109">
        <f t="shared" si="9"/>
        <v>22</v>
      </c>
      <c r="P109" s="4">
        <f t="shared" si="10"/>
        <v>0.75</v>
      </c>
      <c r="Q109" t="str">
        <f t="shared" si="11"/>
        <v>Needs Follow-Up</v>
      </c>
    </row>
    <row r="110" spans="1:17" x14ac:dyDescent="0.35">
      <c r="A110" s="5" t="s">
        <v>247</v>
      </c>
      <c r="B110" s="6" t="s">
        <v>248</v>
      </c>
      <c r="C110" s="9">
        <v>46326</v>
      </c>
      <c r="D110" s="6" t="s">
        <v>27</v>
      </c>
      <c r="E110" s="6" t="s">
        <v>28</v>
      </c>
      <c r="F110" s="6" t="s">
        <v>23</v>
      </c>
      <c r="G110" s="5" t="s">
        <v>57</v>
      </c>
      <c r="H110" s="5" t="str">
        <f>_xlfn.XLOOKUP(G110,Staff_Lookup!$A$2:$A$7,Staff_Lookup!$B$2:$B$7,"Not Found")</f>
        <v>Ahmed Hassan</v>
      </c>
      <c r="I110" s="7">
        <v>12</v>
      </c>
      <c r="J110" s="7">
        <v>9</v>
      </c>
      <c r="K110" s="7">
        <v>57</v>
      </c>
      <c r="L110" s="7">
        <v>68</v>
      </c>
      <c r="M110" s="8">
        <v>100</v>
      </c>
      <c r="N110" s="7">
        <v>2</v>
      </c>
      <c r="O110">
        <f t="shared" si="9"/>
        <v>11</v>
      </c>
      <c r="P110" s="4">
        <f t="shared" si="10"/>
        <v>0.75</v>
      </c>
      <c r="Q110" t="str">
        <f t="shared" si="11"/>
        <v>Needs Follow-Up</v>
      </c>
    </row>
    <row r="111" spans="1:17" x14ac:dyDescent="0.35">
      <c r="A111" s="5" t="s">
        <v>249</v>
      </c>
      <c r="B111" s="6" t="s">
        <v>250</v>
      </c>
      <c r="C111" s="9">
        <v>46326</v>
      </c>
      <c r="D111" s="6" t="s">
        <v>21</v>
      </c>
      <c r="E111" s="6" t="s">
        <v>22</v>
      </c>
      <c r="F111" s="6" t="s">
        <v>29</v>
      </c>
      <c r="G111" s="5" t="s">
        <v>59</v>
      </c>
      <c r="H111" s="5" t="str">
        <f>_xlfn.XLOOKUP(G111,Staff_Lookup!$A$2:$A$7,Staff_Lookup!$B$2:$B$7,"Not Found")</f>
        <v>Jennifer Lee</v>
      </c>
      <c r="I111" s="7">
        <v>8</v>
      </c>
      <c r="J111" s="7">
        <v>8</v>
      </c>
      <c r="K111" s="7">
        <v>68</v>
      </c>
      <c r="L111" s="7">
        <v>86</v>
      </c>
      <c r="M111" s="8">
        <v>125</v>
      </c>
      <c r="N111" s="7">
        <v>5</v>
      </c>
      <c r="O111">
        <f t="shared" si="9"/>
        <v>18</v>
      </c>
      <c r="P111" s="4">
        <f t="shared" si="10"/>
        <v>1</v>
      </c>
      <c r="Q111" t="str">
        <f t="shared" si="11"/>
        <v>Completed</v>
      </c>
    </row>
    <row r="112" spans="1:17" x14ac:dyDescent="0.35">
      <c r="A112" s="5" t="s">
        <v>251</v>
      </c>
      <c r="B112" s="6" t="s">
        <v>252</v>
      </c>
      <c r="C112" s="9">
        <v>46327</v>
      </c>
      <c r="D112" s="6" t="s">
        <v>15</v>
      </c>
      <c r="E112" s="6" t="s">
        <v>16</v>
      </c>
      <c r="F112" s="6" t="s">
        <v>23</v>
      </c>
      <c r="G112" s="5" t="s">
        <v>34</v>
      </c>
      <c r="H112" s="5" t="str">
        <f>_xlfn.XLOOKUP(G112,Staff_Lookup!$A$2:$A$7,Staff_Lookup!$B$2:$B$7,"Not Found")</f>
        <v>Carlos Martinez</v>
      </c>
      <c r="I112" s="7">
        <v>10</v>
      </c>
      <c r="J112" s="7">
        <v>9</v>
      </c>
      <c r="K112" s="7">
        <v>48</v>
      </c>
      <c r="L112" s="7">
        <v>55</v>
      </c>
      <c r="M112" s="8">
        <v>150</v>
      </c>
      <c r="N112" s="7">
        <v>3</v>
      </c>
      <c r="O112">
        <f t="shared" si="9"/>
        <v>7</v>
      </c>
      <c r="P112" s="4">
        <f t="shared" si="10"/>
        <v>0.9</v>
      </c>
      <c r="Q112" t="str">
        <f t="shared" si="11"/>
        <v>Completed</v>
      </c>
    </row>
    <row r="113" spans="1:17" x14ac:dyDescent="0.35">
      <c r="A113" s="5" t="s">
        <v>253</v>
      </c>
      <c r="B113" s="6" t="s">
        <v>254</v>
      </c>
      <c r="C113" s="9">
        <v>46327</v>
      </c>
      <c r="D113" s="6" t="s">
        <v>15</v>
      </c>
      <c r="E113" s="6" t="s">
        <v>16</v>
      </c>
      <c r="F113" s="6" t="s">
        <v>29</v>
      </c>
      <c r="G113" s="5" t="s">
        <v>30</v>
      </c>
      <c r="H113" s="5" t="str">
        <f>_xlfn.XLOOKUP(G113,Staff_Lookup!$A$2:$A$7,Staff_Lookup!$B$2:$B$7,"Not Found")</f>
        <v>Priya Patel</v>
      </c>
      <c r="I113" s="7">
        <v>12</v>
      </c>
      <c r="J113" s="7">
        <v>10</v>
      </c>
      <c r="K113" s="7">
        <v>60</v>
      </c>
      <c r="L113" s="7">
        <v>74</v>
      </c>
      <c r="M113" s="8">
        <v>150</v>
      </c>
      <c r="N113" s="7">
        <v>4</v>
      </c>
      <c r="O113">
        <f t="shared" si="9"/>
        <v>14</v>
      </c>
      <c r="P113" s="4">
        <f t="shared" si="10"/>
        <v>0.83333333333333337</v>
      </c>
      <c r="Q113" t="str">
        <f t="shared" si="11"/>
        <v>Completed</v>
      </c>
    </row>
    <row r="114" spans="1:17" x14ac:dyDescent="0.35">
      <c r="A114" s="5" t="s">
        <v>255</v>
      </c>
      <c r="B114" s="6" t="s">
        <v>256</v>
      </c>
      <c r="C114" s="9">
        <v>46328</v>
      </c>
      <c r="D114" s="6" t="s">
        <v>27</v>
      </c>
      <c r="E114" s="6" t="s">
        <v>33</v>
      </c>
      <c r="F114" s="6" t="s">
        <v>17</v>
      </c>
      <c r="G114" s="5" t="s">
        <v>24</v>
      </c>
      <c r="H114" s="5" t="str">
        <f>_xlfn.XLOOKUP(G114,Staff_Lookup!$A$2:$A$7,Staff_Lookup!$B$2:$B$7,"Not Found")</f>
        <v>Michael Brown</v>
      </c>
      <c r="I114" s="7">
        <v>8</v>
      </c>
      <c r="J114" s="7">
        <v>5</v>
      </c>
      <c r="K114" s="7">
        <v>71</v>
      </c>
      <c r="L114" s="7">
        <v>92</v>
      </c>
      <c r="M114" s="8">
        <v>100</v>
      </c>
      <c r="N114" s="7">
        <v>3</v>
      </c>
      <c r="O114">
        <f t="shared" si="9"/>
        <v>21</v>
      </c>
      <c r="P114" s="4">
        <f t="shared" si="10"/>
        <v>0.625</v>
      </c>
      <c r="Q114" t="str">
        <f t="shared" si="11"/>
        <v>Needs Follow-Up</v>
      </c>
    </row>
    <row r="115" spans="1:17" x14ac:dyDescent="0.35">
      <c r="A115" s="5" t="s">
        <v>257</v>
      </c>
      <c r="B115" s="6" t="s">
        <v>258</v>
      </c>
      <c r="C115" s="9">
        <v>46328</v>
      </c>
      <c r="D115" s="6" t="s">
        <v>21</v>
      </c>
      <c r="E115" s="6" t="s">
        <v>28</v>
      </c>
      <c r="F115" s="6" t="s">
        <v>23</v>
      </c>
      <c r="G115" s="5" t="s">
        <v>18</v>
      </c>
      <c r="H115" s="5" t="str">
        <f>_xlfn.XLOOKUP(G115,Staff_Lookup!$A$2:$A$7,Staff_Lookup!$B$2:$B$7,"Not Found")</f>
        <v>Rachel Morgan</v>
      </c>
      <c r="I115" s="7">
        <v>10</v>
      </c>
      <c r="J115" s="7">
        <v>10</v>
      </c>
      <c r="K115" s="7">
        <v>51</v>
      </c>
      <c r="L115" s="7">
        <v>60</v>
      </c>
      <c r="M115" s="8">
        <v>125</v>
      </c>
      <c r="N115" s="7">
        <v>3</v>
      </c>
      <c r="O115">
        <f t="shared" si="9"/>
        <v>9</v>
      </c>
      <c r="P115" s="4">
        <f t="shared" si="10"/>
        <v>1</v>
      </c>
      <c r="Q115" t="str">
        <f t="shared" si="11"/>
        <v>Completed</v>
      </c>
    </row>
    <row r="116" spans="1:17" x14ac:dyDescent="0.35">
      <c r="A116" s="5" t="s">
        <v>259</v>
      </c>
      <c r="B116" s="6" t="s">
        <v>260</v>
      </c>
      <c r="C116" s="9">
        <v>46329</v>
      </c>
      <c r="D116" s="6" t="s">
        <v>15</v>
      </c>
      <c r="E116" s="6" t="s">
        <v>22</v>
      </c>
      <c r="F116" s="6" t="s">
        <v>17</v>
      </c>
      <c r="G116" s="5" t="s">
        <v>18</v>
      </c>
      <c r="H116" s="5" t="str">
        <f>_xlfn.XLOOKUP(G116,Staff_Lookup!$A$2:$A$7,Staff_Lookup!$B$2:$B$7,"Not Found")</f>
        <v>Rachel Morgan</v>
      </c>
      <c r="I116" s="7">
        <v>8</v>
      </c>
      <c r="J116" s="7">
        <v>7</v>
      </c>
      <c r="K116" s="7">
        <v>63</v>
      </c>
      <c r="L116" s="7">
        <v>79</v>
      </c>
      <c r="M116" s="8">
        <v>150</v>
      </c>
      <c r="N116" s="7">
        <v>5</v>
      </c>
      <c r="O116">
        <f t="shared" si="9"/>
        <v>16</v>
      </c>
      <c r="P116" s="4">
        <f t="shared" si="10"/>
        <v>0.875</v>
      </c>
      <c r="Q116" t="str">
        <f t="shared" si="11"/>
        <v>Completed</v>
      </c>
    </row>
    <row r="117" spans="1:17" x14ac:dyDescent="0.35">
      <c r="A117" s="5" t="s">
        <v>261</v>
      </c>
      <c r="B117" s="6" t="s">
        <v>262</v>
      </c>
      <c r="C117" s="9">
        <v>46329</v>
      </c>
      <c r="D117" s="6" t="s">
        <v>27</v>
      </c>
      <c r="E117" s="6" t="s">
        <v>16</v>
      </c>
      <c r="F117" s="6" t="s">
        <v>23</v>
      </c>
      <c r="G117" s="5" t="s">
        <v>57</v>
      </c>
      <c r="H117" s="5" t="str">
        <f>_xlfn.XLOOKUP(G117,Staff_Lookup!$A$2:$A$7,Staff_Lookup!$B$2:$B$7,"Not Found")</f>
        <v>Ahmed Hassan</v>
      </c>
      <c r="I117" s="7">
        <v>10</v>
      </c>
      <c r="J117" s="7">
        <v>8</v>
      </c>
      <c r="K117" s="7">
        <v>74</v>
      </c>
      <c r="L117" s="7">
        <v>97</v>
      </c>
      <c r="M117" s="8">
        <v>100</v>
      </c>
      <c r="N117" s="7">
        <v>4</v>
      </c>
      <c r="O117">
        <f t="shared" si="9"/>
        <v>23</v>
      </c>
      <c r="P117" s="4">
        <f t="shared" si="10"/>
        <v>0.8</v>
      </c>
      <c r="Q117" t="str">
        <f t="shared" si="11"/>
        <v>Completed</v>
      </c>
    </row>
    <row r="118" spans="1:17" x14ac:dyDescent="0.35">
      <c r="A118" s="5" t="s">
        <v>263</v>
      </c>
      <c r="B118" s="6" t="s">
        <v>264</v>
      </c>
      <c r="C118" s="9">
        <v>46330</v>
      </c>
      <c r="D118" s="6" t="s">
        <v>21</v>
      </c>
      <c r="E118" s="6" t="s">
        <v>16</v>
      </c>
      <c r="F118" s="6" t="s">
        <v>29</v>
      </c>
      <c r="G118" s="5" t="s">
        <v>59</v>
      </c>
      <c r="H118" s="5" t="str">
        <f>_xlfn.XLOOKUP(G118,Staff_Lookup!$A$2:$A$7,Staff_Lookup!$B$2:$B$7,"Not Found")</f>
        <v>Jennifer Lee</v>
      </c>
      <c r="I118" s="7">
        <v>12</v>
      </c>
      <c r="J118" s="7">
        <v>12</v>
      </c>
      <c r="K118" s="7">
        <v>54</v>
      </c>
      <c r="L118" s="7">
        <v>65</v>
      </c>
      <c r="M118" s="8">
        <v>125</v>
      </c>
      <c r="N118" s="7">
        <v>3</v>
      </c>
      <c r="O118">
        <f t="shared" si="9"/>
        <v>11</v>
      </c>
      <c r="P118" s="4">
        <f t="shared" si="10"/>
        <v>1</v>
      </c>
      <c r="Q118" t="str">
        <f t="shared" si="11"/>
        <v>Completed</v>
      </c>
    </row>
    <row r="119" spans="1:17" x14ac:dyDescent="0.35">
      <c r="A119" s="5" t="s">
        <v>265</v>
      </c>
      <c r="B119" s="6" t="s">
        <v>266</v>
      </c>
      <c r="C119" s="9">
        <v>46330</v>
      </c>
      <c r="D119" s="6" t="s">
        <v>15</v>
      </c>
      <c r="E119" s="6" t="s">
        <v>33</v>
      </c>
      <c r="F119" s="6" t="s">
        <v>17</v>
      </c>
      <c r="G119" s="5" t="s">
        <v>34</v>
      </c>
      <c r="H119" s="5" t="str">
        <f>_xlfn.XLOOKUP(G119,Staff_Lookup!$A$2:$A$7,Staff_Lookup!$B$2:$B$7,"Not Found")</f>
        <v>Carlos Martinez</v>
      </c>
      <c r="I119" s="7">
        <v>8</v>
      </c>
      <c r="J119" s="7">
        <v>7</v>
      </c>
      <c r="K119" s="7">
        <v>66</v>
      </c>
      <c r="L119" s="7">
        <v>84</v>
      </c>
      <c r="M119" s="8">
        <v>150</v>
      </c>
      <c r="N119" s="7">
        <v>4</v>
      </c>
      <c r="O119">
        <f t="shared" si="9"/>
        <v>18</v>
      </c>
      <c r="P119" s="4">
        <f t="shared" si="10"/>
        <v>0.875</v>
      </c>
      <c r="Q119" t="str">
        <f t="shared" si="11"/>
        <v>Completed</v>
      </c>
    </row>
    <row r="120" spans="1:17" x14ac:dyDescent="0.35">
      <c r="A120" s="5" t="s">
        <v>267</v>
      </c>
      <c r="B120" s="6" t="s">
        <v>268</v>
      </c>
      <c r="C120" s="9">
        <v>46331</v>
      </c>
      <c r="D120" s="6" t="s">
        <v>15</v>
      </c>
      <c r="E120" s="6" t="s">
        <v>28</v>
      </c>
      <c r="F120" s="6" t="s">
        <v>29</v>
      </c>
      <c r="G120" s="5" t="s">
        <v>30</v>
      </c>
      <c r="H120" s="5" t="str">
        <f>_xlfn.XLOOKUP(G120,Staff_Lookup!$A$2:$A$7,Staff_Lookup!$B$2:$B$7,"Not Found")</f>
        <v>Priya Patel</v>
      </c>
      <c r="I120" s="7">
        <v>10</v>
      </c>
      <c r="J120" s="7">
        <v>8</v>
      </c>
      <c r="K120" s="7">
        <v>77</v>
      </c>
      <c r="L120" s="7">
        <v>84</v>
      </c>
      <c r="M120" s="8">
        <v>125</v>
      </c>
      <c r="N120" s="7">
        <v>3</v>
      </c>
      <c r="O120">
        <f t="shared" si="9"/>
        <v>7</v>
      </c>
      <c r="P120" s="4">
        <f t="shared" si="10"/>
        <v>0.8</v>
      </c>
      <c r="Q120" t="str">
        <f t="shared" si="11"/>
        <v>Completed</v>
      </c>
    </row>
    <row r="121" spans="1:17" x14ac:dyDescent="0.35">
      <c r="A121" s="5" t="s">
        <v>269</v>
      </c>
      <c r="B121" s="6" t="s">
        <v>270</v>
      </c>
      <c r="C121" s="9">
        <v>46331</v>
      </c>
      <c r="D121" s="6" t="s">
        <v>27</v>
      </c>
      <c r="E121" s="6" t="s">
        <v>22</v>
      </c>
      <c r="F121" s="6" t="s">
        <v>17</v>
      </c>
      <c r="G121" s="5" t="s">
        <v>24</v>
      </c>
      <c r="H121" s="5" t="str">
        <f>_xlfn.XLOOKUP(G121,Staff_Lookup!$A$2:$A$7,Staff_Lookup!$B$2:$B$7,"Not Found")</f>
        <v>Michael Brown</v>
      </c>
      <c r="I121" s="7">
        <v>12</v>
      </c>
      <c r="J121" s="7">
        <v>9</v>
      </c>
      <c r="K121" s="7">
        <v>57</v>
      </c>
      <c r="L121" s="7">
        <v>71</v>
      </c>
      <c r="M121" s="8">
        <v>100</v>
      </c>
      <c r="N121" s="7">
        <v>4</v>
      </c>
      <c r="O121">
        <f t="shared" si="9"/>
        <v>14</v>
      </c>
      <c r="P121" s="4">
        <f t="shared" si="10"/>
        <v>0.75</v>
      </c>
      <c r="Q121" t="str">
        <f t="shared" si="11"/>
        <v>Needs Follow-Up</v>
      </c>
    </row>
    <row r="122" spans="1:17" x14ac:dyDescent="0.35">
      <c r="A122" s="5" t="s">
        <v>271</v>
      </c>
      <c r="B122" s="6" t="s">
        <v>272</v>
      </c>
      <c r="C122" s="9">
        <v>46332</v>
      </c>
      <c r="D122" s="6" t="s">
        <v>21</v>
      </c>
      <c r="E122" s="6" t="s">
        <v>16</v>
      </c>
      <c r="F122" s="6" t="s">
        <v>23</v>
      </c>
      <c r="G122" s="5" t="s">
        <v>18</v>
      </c>
      <c r="H122" s="5" t="str">
        <f>_xlfn.XLOOKUP(G122,Staff_Lookup!$A$2:$A$7,Staff_Lookup!$B$2:$B$7,"Not Found")</f>
        <v>Rachel Morgan</v>
      </c>
      <c r="I122" s="7">
        <v>10</v>
      </c>
      <c r="J122" s="7">
        <v>10</v>
      </c>
      <c r="K122" s="7">
        <v>69</v>
      </c>
      <c r="L122" s="7">
        <v>90</v>
      </c>
      <c r="M122" s="8">
        <v>125</v>
      </c>
      <c r="N122" s="7">
        <v>4</v>
      </c>
      <c r="O122">
        <f t="shared" si="9"/>
        <v>21</v>
      </c>
      <c r="P122" s="4">
        <f t="shared" si="10"/>
        <v>1</v>
      </c>
      <c r="Q122" t="str">
        <f t="shared" si="11"/>
        <v>Completed</v>
      </c>
    </row>
    <row r="123" spans="1:17" x14ac:dyDescent="0.35">
      <c r="A123" s="5" t="s">
        <v>273</v>
      </c>
      <c r="B123" s="6" t="s">
        <v>274</v>
      </c>
      <c r="C123" s="9">
        <v>46332</v>
      </c>
      <c r="D123" s="6" t="s">
        <v>15</v>
      </c>
      <c r="E123" s="6" t="s">
        <v>16</v>
      </c>
      <c r="F123" s="6" t="s">
        <v>29</v>
      </c>
      <c r="G123" s="5" t="s">
        <v>57</v>
      </c>
      <c r="H123" s="5" t="str">
        <f>_xlfn.XLOOKUP(G123,Staff_Lookup!$A$2:$A$7,Staff_Lookup!$B$2:$B$7,"Not Found")</f>
        <v>Ahmed Hassan</v>
      </c>
      <c r="I123" s="7">
        <v>12</v>
      </c>
      <c r="J123" s="7">
        <v>11</v>
      </c>
      <c r="K123" s="7">
        <v>49</v>
      </c>
      <c r="L123" s="7">
        <v>58</v>
      </c>
      <c r="M123" s="8">
        <v>150</v>
      </c>
      <c r="N123" s="7">
        <v>3</v>
      </c>
      <c r="O123">
        <f t="shared" si="9"/>
        <v>9</v>
      </c>
      <c r="P123" s="4">
        <f t="shared" si="10"/>
        <v>0.91666666666666663</v>
      </c>
      <c r="Q123" t="str">
        <f t="shared" si="11"/>
        <v>Completed</v>
      </c>
    </row>
    <row r="124" spans="1:17" x14ac:dyDescent="0.35">
      <c r="A124" s="5" t="s">
        <v>275</v>
      </c>
      <c r="B124" s="6" t="s">
        <v>276</v>
      </c>
      <c r="C124" s="9">
        <v>46333</v>
      </c>
      <c r="D124" s="6" t="s">
        <v>27</v>
      </c>
      <c r="E124" s="6" t="s">
        <v>33</v>
      </c>
      <c r="F124" s="6" t="s">
        <v>23</v>
      </c>
      <c r="G124" s="5" t="s">
        <v>59</v>
      </c>
      <c r="H124" s="5" t="str">
        <f>_xlfn.XLOOKUP(G124,Staff_Lookup!$A$2:$A$7,Staff_Lookup!$B$2:$B$7,"Not Found")</f>
        <v>Jennifer Lee</v>
      </c>
      <c r="I124" s="7">
        <v>8</v>
      </c>
      <c r="J124" s="7">
        <v>6</v>
      </c>
      <c r="K124" s="7">
        <v>60</v>
      </c>
      <c r="L124" s="7">
        <v>76</v>
      </c>
      <c r="M124" s="8">
        <v>100</v>
      </c>
      <c r="N124" s="7">
        <v>3</v>
      </c>
      <c r="O124">
        <f t="shared" si="9"/>
        <v>16</v>
      </c>
      <c r="P124" s="4">
        <f t="shared" si="10"/>
        <v>0.75</v>
      </c>
      <c r="Q124" t="str">
        <f t="shared" si="11"/>
        <v>Needs Follow-Up</v>
      </c>
    </row>
    <row r="125" spans="1:17" x14ac:dyDescent="0.35">
      <c r="A125" s="5" t="s">
        <v>277</v>
      </c>
      <c r="B125" s="6" t="s">
        <v>278</v>
      </c>
      <c r="C125" s="9">
        <v>46333</v>
      </c>
      <c r="D125" s="6" t="s">
        <v>21</v>
      </c>
      <c r="E125" s="6" t="s">
        <v>28</v>
      </c>
      <c r="F125" s="6" t="s">
        <v>29</v>
      </c>
      <c r="G125" s="5" t="s">
        <v>59</v>
      </c>
      <c r="H125" s="5" t="str">
        <f>_xlfn.XLOOKUP(G125,Staff_Lookup!$A$2:$A$7,Staff_Lookup!$B$2:$B$7,"Not Found")</f>
        <v>Jennifer Lee</v>
      </c>
      <c r="I125" s="7">
        <v>10</v>
      </c>
      <c r="J125" s="7">
        <v>7</v>
      </c>
      <c r="K125" s="7">
        <v>72</v>
      </c>
      <c r="L125" s="7">
        <v>95</v>
      </c>
      <c r="M125" s="8">
        <v>125</v>
      </c>
      <c r="N125" s="7">
        <v>3</v>
      </c>
      <c r="O125">
        <f t="shared" si="9"/>
        <v>23</v>
      </c>
      <c r="P125" s="4">
        <f t="shared" si="10"/>
        <v>0.7</v>
      </c>
      <c r="Q125" t="str">
        <f t="shared" si="11"/>
        <v>Needs Follow-Up</v>
      </c>
    </row>
    <row r="126" spans="1:17" x14ac:dyDescent="0.35">
      <c r="A126" s="5" t="s">
        <v>279</v>
      </c>
      <c r="B126" s="6" t="s">
        <v>280</v>
      </c>
      <c r="C126" s="9">
        <v>46334</v>
      </c>
      <c r="D126" s="6" t="s">
        <v>15</v>
      </c>
      <c r="E126" s="6" t="s">
        <v>22</v>
      </c>
      <c r="F126" s="6" t="s">
        <v>17</v>
      </c>
      <c r="G126" s="5" t="s">
        <v>34</v>
      </c>
      <c r="H126" s="5" t="str">
        <f>_xlfn.XLOOKUP(G126,Staff_Lookup!$A$2:$A$7,Staff_Lookup!$B$2:$B$7,"Not Found")</f>
        <v>Carlos Martinez</v>
      </c>
      <c r="I126" s="7">
        <v>12</v>
      </c>
      <c r="J126" s="7">
        <v>12</v>
      </c>
      <c r="K126" s="7">
        <v>52</v>
      </c>
      <c r="L126" s="7">
        <v>63</v>
      </c>
      <c r="M126" s="8">
        <v>150</v>
      </c>
      <c r="N126" s="7">
        <v>4</v>
      </c>
      <c r="O126">
        <f t="shared" si="9"/>
        <v>11</v>
      </c>
      <c r="P126" s="4">
        <f t="shared" si="10"/>
        <v>1</v>
      </c>
      <c r="Q126" t="str">
        <f t="shared" si="11"/>
        <v>Completed</v>
      </c>
    </row>
    <row r="127" spans="1:17" x14ac:dyDescent="0.35">
      <c r="A127" s="5" t="s">
        <v>281</v>
      </c>
      <c r="B127" s="6" t="s">
        <v>282</v>
      </c>
      <c r="C127" s="9">
        <v>46334</v>
      </c>
      <c r="D127" s="6" t="s">
        <v>15</v>
      </c>
      <c r="E127" s="6" t="s">
        <v>16</v>
      </c>
      <c r="F127" s="6" t="s">
        <v>23</v>
      </c>
      <c r="G127" s="5" t="s">
        <v>30</v>
      </c>
      <c r="H127" s="5" t="str">
        <f>_xlfn.XLOOKUP(G127,Staff_Lookup!$A$2:$A$7,Staff_Lookup!$B$2:$B$7,"Not Found")</f>
        <v>Priya Patel</v>
      </c>
      <c r="I127" s="7">
        <v>8</v>
      </c>
      <c r="J127" s="7">
        <v>7</v>
      </c>
      <c r="K127" s="7">
        <v>63</v>
      </c>
      <c r="L127" s="7">
        <v>81</v>
      </c>
      <c r="M127" s="8">
        <v>150</v>
      </c>
      <c r="N127" s="7">
        <v>4</v>
      </c>
      <c r="O127">
        <f t="shared" si="9"/>
        <v>18</v>
      </c>
      <c r="P127" s="4">
        <f t="shared" si="10"/>
        <v>0.875</v>
      </c>
      <c r="Q127" t="str">
        <f t="shared" si="11"/>
        <v>Completed</v>
      </c>
    </row>
    <row r="128" spans="1:17" x14ac:dyDescent="0.35">
      <c r="A128" s="5" t="s">
        <v>283</v>
      </c>
      <c r="B128" s="6" t="s">
        <v>284</v>
      </c>
      <c r="C128" s="9">
        <v>46335</v>
      </c>
      <c r="D128" s="6" t="s">
        <v>27</v>
      </c>
      <c r="E128" s="6" t="s">
        <v>16</v>
      </c>
      <c r="F128" s="6" t="s">
        <v>17</v>
      </c>
      <c r="G128" s="5" t="s">
        <v>24</v>
      </c>
      <c r="H128" s="5" t="str">
        <f>_xlfn.XLOOKUP(G128,Staff_Lookup!$A$2:$A$7,Staff_Lookup!$B$2:$B$7,"Not Found")</f>
        <v>Michael Brown</v>
      </c>
      <c r="I128" s="7">
        <v>12</v>
      </c>
      <c r="J128" s="7">
        <v>10</v>
      </c>
      <c r="K128" s="7">
        <v>75</v>
      </c>
      <c r="L128" s="7">
        <v>82</v>
      </c>
      <c r="M128" s="8">
        <v>100</v>
      </c>
      <c r="N128" s="7">
        <v>3</v>
      </c>
      <c r="O128">
        <f t="shared" si="9"/>
        <v>7</v>
      </c>
      <c r="P128" s="4">
        <f t="shared" si="10"/>
        <v>0.83333333333333337</v>
      </c>
      <c r="Q128" t="str">
        <f t="shared" si="11"/>
        <v>Completed</v>
      </c>
    </row>
    <row r="129" spans="1:17" x14ac:dyDescent="0.35">
      <c r="A129" s="5" t="s">
        <v>285</v>
      </c>
      <c r="B129" s="6" t="s">
        <v>286</v>
      </c>
      <c r="C129" s="9">
        <v>46335</v>
      </c>
      <c r="D129" s="6" t="s">
        <v>21</v>
      </c>
      <c r="E129" s="6" t="s">
        <v>33</v>
      </c>
      <c r="F129" s="6" t="s">
        <v>23</v>
      </c>
      <c r="G129" s="5" t="s">
        <v>18</v>
      </c>
      <c r="H129" s="5" t="str">
        <f>_xlfn.XLOOKUP(G129,Staff_Lookup!$A$2:$A$7,Staff_Lookup!$B$2:$B$7,"Not Found")</f>
        <v>Rachel Morgan</v>
      </c>
      <c r="I129" s="7">
        <v>8</v>
      </c>
      <c r="J129" s="7">
        <v>8</v>
      </c>
      <c r="K129" s="7">
        <v>55</v>
      </c>
      <c r="L129" s="7">
        <v>69</v>
      </c>
      <c r="M129" s="8">
        <v>125</v>
      </c>
      <c r="N129" s="7">
        <v>4</v>
      </c>
      <c r="O129">
        <f t="shared" si="9"/>
        <v>14</v>
      </c>
      <c r="P129" s="4">
        <f t="shared" si="10"/>
        <v>1</v>
      </c>
      <c r="Q129" t="str">
        <f t="shared" si="11"/>
        <v>Completed</v>
      </c>
    </row>
    <row r="130" spans="1:17" x14ac:dyDescent="0.35">
      <c r="A130" s="5" t="s">
        <v>287</v>
      </c>
      <c r="B130" s="6" t="s">
        <v>288</v>
      </c>
      <c r="C130" s="9">
        <v>46336</v>
      </c>
      <c r="D130" s="6" t="s">
        <v>15</v>
      </c>
      <c r="E130" s="6" t="s">
        <v>28</v>
      </c>
      <c r="F130" s="6" t="s">
        <v>29</v>
      </c>
      <c r="G130" s="5" t="s">
        <v>57</v>
      </c>
      <c r="H130" s="5" t="str">
        <f>_xlfn.XLOOKUP(G130,Staff_Lookup!$A$2:$A$7,Staff_Lookup!$B$2:$B$7,"Not Found")</f>
        <v>Ahmed Hassan</v>
      </c>
      <c r="I130" s="7">
        <v>10</v>
      </c>
      <c r="J130" s="7">
        <v>9</v>
      </c>
      <c r="K130" s="7">
        <v>66</v>
      </c>
      <c r="L130" s="7">
        <v>87</v>
      </c>
      <c r="M130" s="8">
        <v>150</v>
      </c>
      <c r="N130" s="7">
        <v>4</v>
      </c>
      <c r="O130">
        <f t="shared" ref="O130:O161" si="12">L130-K130</f>
        <v>21</v>
      </c>
      <c r="P130" s="4">
        <f t="shared" ref="P130:P161" si="13">J130/I130</f>
        <v>0.9</v>
      </c>
      <c r="Q130" t="str">
        <f t="shared" ref="Q130:Q161" si="14">IF(P130&gt;=$T$15, "Completed", "Needs Follow-Up")</f>
        <v>Completed</v>
      </c>
    </row>
    <row r="131" spans="1:17" x14ac:dyDescent="0.35">
      <c r="A131" s="5" t="s">
        <v>289</v>
      </c>
      <c r="B131" s="6" t="s">
        <v>290</v>
      </c>
      <c r="C131" s="9">
        <v>46336</v>
      </c>
      <c r="D131" s="6" t="s">
        <v>27</v>
      </c>
      <c r="E131" s="6" t="s">
        <v>22</v>
      </c>
      <c r="F131" s="6" t="s">
        <v>17</v>
      </c>
      <c r="G131" s="5" t="s">
        <v>59</v>
      </c>
      <c r="H131" s="5" t="str">
        <f>_xlfn.XLOOKUP(G131,Staff_Lookup!$A$2:$A$7,Staff_Lookup!$B$2:$B$7,"Not Found")</f>
        <v>Jennifer Lee</v>
      </c>
      <c r="I131" s="7">
        <v>12</v>
      </c>
      <c r="J131" s="7">
        <v>10</v>
      </c>
      <c r="K131" s="7">
        <v>78</v>
      </c>
      <c r="L131" s="7">
        <v>87</v>
      </c>
      <c r="M131" s="8">
        <v>100</v>
      </c>
      <c r="N131" s="7">
        <v>4</v>
      </c>
      <c r="O131">
        <f t="shared" si="12"/>
        <v>9</v>
      </c>
      <c r="P131" s="4">
        <f t="shared" si="13"/>
        <v>0.83333333333333337</v>
      </c>
      <c r="Q131" t="str">
        <f t="shared" si="14"/>
        <v>Completed</v>
      </c>
    </row>
    <row r="132" spans="1:17" x14ac:dyDescent="0.35">
      <c r="A132" s="5" t="s">
        <v>291</v>
      </c>
      <c r="B132" s="6" t="s">
        <v>292</v>
      </c>
      <c r="C132" s="9">
        <v>46337</v>
      </c>
      <c r="D132" s="6" t="s">
        <v>21</v>
      </c>
      <c r="E132" s="6" t="s">
        <v>16</v>
      </c>
      <c r="F132" s="6" t="s">
        <v>29</v>
      </c>
      <c r="G132" s="5" t="s">
        <v>34</v>
      </c>
      <c r="H132" s="5" t="str">
        <f>_xlfn.XLOOKUP(G132,Staff_Lookup!$A$2:$A$7,Staff_Lookup!$B$2:$B$7,"Not Found")</f>
        <v>Carlos Martinez</v>
      </c>
      <c r="I132" s="7">
        <v>8</v>
      </c>
      <c r="J132" s="7">
        <v>5</v>
      </c>
      <c r="K132" s="7">
        <v>58</v>
      </c>
      <c r="L132" s="7">
        <v>74</v>
      </c>
      <c r="M132" s="8">
        <v>125</v>
      </c>
      <c r="N132" s="7">
        <v>3</v>
      </c>
      <c r="O132">
        <f t="shared" si="12"/>
        <v>16</v>
      </c>
      <c r="P132" s="4">
        <f t="shared" si="13"/>
        <v>0.625</v>
      </c>
      <c r="Q132" t="str">
        <f t="shared" si="14"/>
        <v>Needs Follow-Up</v>
      </c>
    </row>
    <row r="133" spans="1:17" x14ac:dyDescent="0.35">
      <c r="A133" s="5" t="s">
        <v>293</v>
      </c>
      <c r="B133" s="6" t="s">
        <v>294</v>
      </c>
      <c r="C133" s="9">
        <v>46337</v>
      </c>
      <c r="D133" s="6" t="s">
        <v>15</v>
      </c>
      <c r="E133" s="6" t="s">
        <v>16</v>
      </c>
      <c r="F133" s="6" t="s">
        <v>17</v>
      </c>
      <c r="G133" s="5" t="s">
        <v>30</v>
      </c>
      <c r="H133" s="5" t="str">
        <f>_xlfn.XLOOKUP(G133,Staff_Lookup!$A$2:$A$7,Staff_Lookup!$B$2:$B$7,"Not Found")</f>
        <v>Priya Patel</v>
      </c>
      <c r="I133" s="7">
        <v>10</v>
      </c>
      <c r="J133" s="7">
        <v>10</v>
      </c>
      <c r="K133" s="7">
        <v>69</v>
      </c>
      <c r="L133" s="7">
        <v>92</v>
      </c>
      <c r="M133" s="8">
        <v>150</v>
      </c>
      <c r="N133" s="7">
        <v>4</v>
      </c>
      <c r="O133">
        <f t="shared" si="12"/>
        <v>23</v>
      </c>
      <c r="P133" s="4">
        <f t="shared" si="13"/>
        <v>1</v>
      </c>
      <c r="Q133" t="str">
        <f t="shared" si="14"/>
        <v>Completed</v>
      </c>
    </row>
    <row r="134" spans="1:17" x14ac:dyDescent="0.35">
      <c r="A134" s="5" t="s">
        <v>295</v>
      </c>
      <c r="B134" s="6" t="s">
        <v>296</v>
      </c>
      <c r="C134" s="9">
        <v>46338</v>
      </c>
      <c r="D134" s="6" t="s">
        <v>15</v>
      </c>
      <c r="E134" s="6" t="s">
        <v>33</v>
      </c>
      <c r="F134" s="6" t="s">
        <v>23</v>
      </c>
      <c r="G134" s="5" t="s">
        <v>30</v>
      </c>
      <c r="H134" s="5" t="str">
        <f>_xlfn.XLOOKUP(G134,Staff_Lookup!$A$2:$A$7,Staff_Lookup!$B$2:$B$7,"Not Found")</f>
        <v>Priya Patel</v>
      </c>
      <c r="I134" s="7">
        <v>8</v>
      </c>
      <c r="J134" s="7">
        <v>7</v>
      </c>
      <c r="K134" s="7">
        <v>50</v>
      </c>
      <c r="L134" s="7">
        <v>61</v>
      </c>
      <c r="M134" s="8">
        <v>150</v>
      </c>
      <c r="N134" s="7">
        <v>3</v>
      </c>
      <c r="O134">
        <f t="shared" si="12"/>
        <v>11</v>
      </c>
      <c r="P134" s="4">
        <f t="shared" si="13"/>
        <v>0.875</v>
      </c>
      <c r="Q134" t="str">
        <f t="shared" si="14"/>
        <v>Completed</v>
      </c>
    </row>
    <row r="135" spans="1:17" x14ac:dyDescent="0.35">
      <c r="A135" s="5" t="s">
        <v>297</v>
      </c>
      <c r="B135" s="6" t="s">
        <v>298</v>
      </c>
      <c r="C135" s="9">
        <v>46338</v>
      </c>
      <c r="D135" s="6" t="s">
        <v>27</v>
      </c>
      <c r="E135" s="6" t="s">
        <v>28</v>
      </c>
      <c r="F135" s="6" t="s">
        <v>29</v>
      </c>
      <c r="G135" s="5" t="s">
        <v>24</v>
      </c>
      <c r="H135" s="5" t="str">
        <f>_xlfn.XLOOKUP(G135,Staff_Lookup!$A$2:$A$7,Staff_Lookup!$B$2:$B$7,"Not Found")</f>
        <v>Michael Brown</v>
      </c>
      <c r="I135" s="7">
        <v>10</v>
      </c>
      <c r="J135" s="7">
        <v>8</v>
      </c>
      <c r="K135" s="7">
        <v>61</v>
      </c>
      <c r="L135" s="7">
        <v>79</v>
      </c>
      <c r="M135" s="8">
        <v>100</v>
      </c>
      <c r="N135" s="7">
        <v>4</v>
      </c>
      <c r="O135">
        <f t="shared" si="12"/>
        <v>18</v>
      </c>
      <c r="P135" s="4">
        <f t="shared" si="13"/>
        <v>0.8</v>
      </c>
      <c r="Q135" t="str">
        <f t="shared" si="14"/>
        <v>Completed</v>
      </c>
    </row>
    <row r="136" spans="1:17" x14ac:dyDescent="0.35">
      <c r="A136" s="5" t="s">
        <v>299</v>
      </c>
      <c r="B136" s="6" t="s">
        <v>300</v>
      </c>
      <c r="C136" s="9">
        <v>46339</v>
      </c>
      <c r="D136" s="6" t="s">
        <v>21</v>
      </c>
      <c r="E136" s="6" t="s">
        <v>22</v>
      </c>
      <c r="F136" s="6" t="s">
        <v>23</v>
      </c>
      <c r="G136" s="5" t="s">
        <v>18</v>
      </c>
      <c r="H136" s="5" t="str">
        <f>_xlfn.XLOOKUP(G136,Staff_Lookup!$A$2:$A$7,Staff_Lookup!$B$2:$B$7,"Not Found")</f>
        <v>Rachel Morgan</v>
      </c>
      <c r="I136" s="7">
        <v>12</v>
      </c>
      <c r="J136" s="7">
        <v>9</v>
      </c>
      <c r="K136" s="7">
        <v>72</v>
      </c>
      <c r="L136" s="7">
        <v>79</v>
      </c>
      <c r="M136" s="8">
        <v>125</v>
      </c>
      <c r="N136" s="7">
        <v>3</v>
      </c>
      <c r="O136">
        <f t="shared" si="12"/>
        <v>7</v>
      </c>
      <c r="P136" s="4">
        <f t="shared" si="13"/>
        <v>0.75</v>
      </c>
      <c r="Q136" t="str">
        <f t="shared" si="14"/>
        <v>Needs Follow-Up</v>
      </c>
    </row>
    <row r="137" spans="1:17" x14ac:dyDescent="0.35">
      <c r="A137" s="5" t="s">
        <v>301</v>
      </c>
      <c r="B137" s="6" t="s">
        <v>302</v>
      </c>
      <c r="C137" s="9">
        <v>46339</v>
      </c>
      <c r="D137" s="6" t="s">
        <v>15</v>
      </c>
      <c r="E137" s="6" t="s">
        <v>16</v>
      </c>
      <c r="F137" s="6" t="s">
        <v>29</v>
      </c>
      <c r="G137" s="5" t="s">
        <v>57</v>
      </c>
      <c r="H137" s="5" t="str">
        <f>_xlfn.XLOOKUP(G137,Staff_Lookup!$A$2:$A$7,Staff_Lookup!$B$2:$B$7,"Not Found")</f>
        <v>Ahmed Hassan</v>
      </c>
      <c r="I137" s="7">
        <v>8</v>
      </c>
      <c r="J137" s="7">
        <v>8</v>
      </c>
      <c r="K137" s="7">
        <v>53</v>
      </c>
      <c r="L137" s="7">
        <v>67</v>
      </c>
      <c r="M137" s="8">
        <v>125</v>
      </c>
      <c r="N137" s="7">
        <v>4</v>
      </c>
      <c r="O137">
        <f t="shared" si="12"/>
        <v>14</v>
      </c>
      <c r="P137" s="4">
        <f t="shared" si="13"/>
        <v>1</v>
      </c>
      <c r="Q137" t="str">
        <f t="shared" si="14"/>
        <v>Completed</v>
      </c>
    </row>
    <row r="138" spans="1:17" x14ac:dyDescent="0.35">
      <c r="A138" s="5" t="s">
        <v>303</v>
      </c>
      <c r="B138" s="6" t="s">
        <v>304</v>
      </c>
      <c r="C138" s="9">
        <v>46340</v>
      </c>
      <c r="D138" s="6" t="s">
        <v>27</v>
      </c>
      <c r="E138" s="6" t="s">
        <v>16</v>
      </c>
      <c r="F138" s="6" t="s">
        <v>17</v>
      </c>
      <c r="G138" s="5" t="s">
        <v>59</v>
      </c>
      <c r="H138" s="5" t="str">
        <f>_xlfn.XLOOKUP(G138,Staff_Lookup!$A$2:$A$7,Staff_Lookup!$B$2:$B$7,"Not Found")</f>
        <v>Jennifer Lee</v>
      </c>
      <c r="I138" s="7">
        <v>10</v>
      </c>
      <c r="J138" s="7">
        <v>9</v>
      </c>
      <c r="K138" s="7">
        <v>64</v>
      </c>
      <c r="L138" s="7">
        <v>85</v>
      </c>
      <c r="M138" s="8">
        <v>100</v>
      </c>
      <c r="N138" s="7">
        <v>4</v>
      </c>
      <c r="O138">
        <f t="shared" si="12"/>
        <v>21</v>
      </c>
      <c r="P138" s="4">
        <f t="shared" si="13"/>
        <v>0.9</v>
      </c>
      <c r="Q138" t="str">
        <f t="shared" si="14"/>
        <v>Completed</v>
      </c>
    </row>
    <row r="139" spans="1:17" x14ac:dyDescent="0.35">
      <c r="A139" s="5" t="s">
        <v>305</v>
      </c>
      <c r="B139" s="6" t="s">
        <v>306</v>
      </c>
      <c r="C139" s="9">
        <v>46340</v>
      </c>
      <c r="D139" s="6" t="s">
        <v>21</v>
      </c>
      <c r="E139" s="6" t="s">
        <v>33</v>
      </c>
      <c r="F139" s="6" t="s">
        <v>23</v>
      </c>
      <c r="G139" s="5" t="s">
        <v>34</v>
      </c>
      <c r="H139" s="5" t="str">
        <f>_xlfn.XLOOKUP(G139,Staff_Lookup!$A$2:$A$7,Staff_Lookup!$B$2:$B$7,"Not Found")</f>
        <v>Carlos Martinez</v>
      </c>
      <c r="I139" s="7">
        <v>12</v>
      </c>
      <c r="J139" s="7">
        <v>10</v>
      </c>
      <c r="K139" s="7">
        <v>75</v>
      </c>
      <c r="L139" s="7">
        <v>84</v>
      </c>
      <c r="M139" s="8">
        <v>125</v>
      </c>
      <c r="N139" s="7">
        <v>3</v>
      </c>
      <c r="O139">
        <f t="shared" si="12"/>
        <v>9</v>
      </c>
      <c r="P139" s="4">
        <f t="shared" si="13"/>
        <v>0.83333333333333337</v>
      </c>
      <c r="Q139" t="str">
        <f t="shared" si="14"/>
        <v>Completed</v>
      </c>
    </row>
    <row r="140" spans="1:17" x14ac:dyDescent="0.35">
      <c r="A140" s="5" t="s">
        <v>307</v>
      </c>
      <c r="B140" s="6" t="s">
        <v>308</v>
      </c>
      <c r="C140" s="9">
        <v>46341</v>
      </c>
      <c r="D140" s="6" t="s">
        <v>15</v>
      </c>
      <c r="E140" s="6" t="s">
        <v>28</v>
      </c>
      <c r="F140" s="6" t="s">
        <v>17</v>
      </c>
      <c r="G140" s="5" t="s">
        <v>30</v>
      </c>
      <c r="H140" s="5" t="str">
        <f>_xlfn.XLOOKUP(G140,Staff_Lookup!$A$2:$A$7,Staff_Lookup!$B$2:$B$7,"Not Found")</f>
        <v>Priya Patel</v>
      </c>
      <c r="I140" s="7">
        <v>10</v>
      </c>
      <c r="J140" s="7">
        <v>10</v>
      </c>
      <c r="K140" s="7">
        <v>56</v>
      </c>
      <c r="L140" s="7">
        <v>72</v>
      </c>
      <c r="M140" s="8">
        <v>150</v>
      </c>
      <c r="N140" s="7">
        <v>4</v>
      </c>
      <c r="O140">
        <f t="shared" si="12"/>
        <v>16</v>
      </c>
      <c r="P140" s="4">
        <f t="shared" si="13"/>
        <v>1</v>
      </c>
      <c r="Q140" t="str">
        <f t="shared" si="14"/>
        <v>Completed</v>
      </c>
    </row>
    <row r="141" spans="1:17" x14ac:dyDescent="0.35">
      <c r="A141" s="5" t="s">
        <v>309</v>
      </c>
      <c r="B141" s="6" t="s">
        <v>310</v>
      </c>
      <c r="C141" s="9">
        <v>46341</v>
      </c>
      <c r="D141" s="6" t="s">
        <v>15</v>
      </c>
      <c r="E141" s="6" t="s">
        <v>22</v>
      </c>
      <c r="F141" s="6" t="s">
        <v>23</v>
      </c>
      <c r="G141" s="5" t="s">
        <v>24</v>
      </c>
      <c r="H141" s="5" t="str">
        <f>_xlfn.XLOOKUP(G141,Staff_Lookup!$A$2:$A$7,Staff_Lookup!$B$2:$B$7,"Not Found")</f>
        <v>Michael Brown</v>
      </c>
      <c r="I141" s="7">
        <v>12</v>
      </c>
      <c r="J141" s="7">
        <v>11</v>
      </c>
      <c r="K141" s="7">
        <v>67</v>
      </c>
      <c r="L141" s="7">
        <v>90</v>
      </c>
      <c r="M141" s="8">
        <v>150</v>
      </c>
      <c r="N141" s="7">
        <v>5</v>
      </c>
      <c r="O141">
        <f t="shared" si="12"/>
        <v>23</v>
      </c>
      <c r="P141" s="4">
        <f t="shared" si="13"/>
        <v>0.91666666666666663</v>
      </c>
      <c r="Q141" t="str">
        <f t="shared" si="14"/>
        <v>Completed</v>
      </c>
    </row>
    <row r="142" spans="1:17" x14ac:dyDescent="0.35">
      <c r="A142" s="5" t="s">
        <v>311</v>
      </c>
      <c r="B142" s="6" t="s">
        <v>312</v>
      </c>
      <c r="C142" s="9">
        <v>46342</v>
      </c>
      <c r="D142" s="6" t="s">
        <v>27</v>
      </c>
      <c r="E142" s="6" t="s">
        <v>16</v>
      </c>
      <c r="F142" s="6" t="s">
        <v>29</v>
      </c>
      <c r="G142" s="5" t="s">
        <v>18</v>
      </c>
      <c r="H142" s="5" t="str">
        <f>_xlfn.XLOOKUP(G142,Staff_Lookup!$A$2:$A$7,Staff_Lookup!$B$2:$B$7,"Not Found")</f>
        <v>Rachel Morgan</v>
      </c>
      <c r="I142" s="7">
        <v>8</v>
      </c>
      <c r="J142" s="7">
        <v>6</v>
      </c>
      <c r="K142" s="7">
        <v>78</v>
      </c>
      <c r="L142" s="7">
        <v>89</v>
      </c>
      <c r="M142" s="8">
        <v>100</v>
      </c>
      <c r="N142" s="7">
        <v>2</v>
      </c>
      <c r="O142">
        <f t="shared" si="12"/>
        <v>11</v>
      </c>
      <c r="P142" s="4">
        <f t="shared" si="13"/>
        <v>0.75</v>
      </c>
      <c r="Q142" t="str">
        <f t="shared" si="14"/>
        <v>Needs Follow-Up</v>
      </c>
    </row>
    <row r="143" spans="1:17" x14ac:dyDescent="0.35">
      <c r="A143" s="5" t="s">
        <v>313</v>
      </c>
      <c r="B143" s="6" t="s">
        <v>314</v>
      </c>
      <c r="C143" s="9">
        <v>46342</v>
      </c>
      <c r="D143" s="6" t="s">
        <v>21</v>
      </c>
      <c r="E143" s="6" t="s">
        <v>16</v>
      </c>
      <c r="F143" s="6" t="s">
        <v>17</v>
      </c>
      <c r="G143" s="5" t="s">
        <v>18</v>
      </c>
      <c r="H143" s="5" t="str">
        <f>_xlfn.XLOOKUP(G143,Staff_Lookup!$A$2:$A$7,Staff_Lookup!$B$2:$B$7,"Not Found")</f>
        <v>Rachel Morgan</v>
      </c>
      <c r="I143" s="7">
        <v>10</v>
      </c>
      <c r="J143" s="7">
        <v>7</v>
      </c>
      <c r="K143" s="7">
        <v>59</v>
      </c>
      <c r="L143" s="7">
        <v>77</v>
      </c>
      <c r="M143" s="8">
        <v>125</v>
      </c>
      <c r="N143" s="7">
        <v>3</v>
      </c>
      <c r="O143">
        <f t="shared" si="12"/>
        <v>18</v>
      </c>
      <c r="P143" s="4">
        <f t="shared" si="13"/>
        <v>0.7</v>
      </c>
      <c r="Q143" t="str">
        <f t="shared" si="14"/>
        <v>Needs Follow-Up</v>
      </c>
    </row>
    <row r="144" spans="1:17" x14ac:dyDescent="0.35">
      <c r="A144" s="5" t="s">
        <v>315</v>
      </c>
      <c r="B144" s="6" t="s">
        <v>316</v>
      </c>
      <c r="C144" s="9">
        <v>46343</v>
      </c>
      <c r="D144" s="6" t="s">
        <v>15</v>
      </c>
      <c r="E144" s="6" t="s">
        <v>33</v>
      </c>
      <c r="F144" s="6" t="s">
        <v>29</v>
      </c>
      <c r="G144" s="5" t="s">
        <v>57</v>
      </c>
      <c r="H144" s="5" t="str">
        <f>_xlfn.XLOOKUP(G144,Staff_Lookup!$A$2:$A$7,Staff_Lookup!$B$2:$B$7,"Not Found")</f>
        <v>Ahmed Hassan</v>
      </c>
      <c r="I144" s="7">
        <v>12</v>
      </c>
      <c r="J144" s="7">
        <v>12</v>
      </c>
      <c r="K144" s="7">
        <v>70</v>
      </c>
      <c r="L144" s="7">
        <v>77</v>
      </c>
      <c r="M144" s="8">
        <v>150</v>
      </c>
      <c r="N144" s="7">
        <v>3</v>
      </c>
      <c r="O144">
        <f t="shared" si="12"/>
        <v>7</v>
      </c>
      <c r="P144" s="4">
        <f t="shared" si="13"/>
        <v>1</v>
      </c>
      <c r="Q144" t="str">
        <f t="shared" si="14"/>
        <v>Completed</v>
      </c>
    </row>
    <row r="145" spans="1:17" x14ac:dyDescent="0.35">
      <c r="A145" s="5" t="s">
        <v>317</v>
      </c>
      <c r="B145" s="6" t="s">
        <v>318</v>
      </c>
      <c r="C145" s="9">
        <v>46343</v>
      </c>
      <c r="D145" s="6" t="s">
        <v>27</v>
      </c>
      <c r="E145" s="6" t="s">
        <v>28</v>
      </c>
      <c r="F145" s="6" t="s">
        <v>17</v>
      </c>
      <c r="G145" s="5" t="s">
        <v>59</v>
      </c>
      <c r="H145" s="5" t="str">
        <f>_xlfn.XLOOKUP(G145,Staff_Lookup!$A$2:$A$7,Staff_Lookup!$B$2:$B$7,"Not Found")</f>
        <v>Jennifer Lee</v>
      </c>
      <c r="I145" s="7">
        <v>8</v>
      </c>
      <c r="J145" s="7">
        <v>7</v>
      </c>
      <c r="K145" s="7">
        <v>50</v>
      </c>
      <c r="L145" s="7">
        <v>64</v>
      </c>
      <c r="M145" s="8">
        <v>100</v>
      </c>
      <c r="N145" s="7">
        <v>4</v>
      </c>
      <c r="O145">
        <f t="shared" si="12"/>
        <v>14</v>
      </c>
      <c r="P145" s="4">
        <f t="shared" si="13"/>
        <v>0.875</v>
      </c>
      <c r="Q145" t="str">
        <f t="shared" si="14"/>
        <v>Completed</v>
      </c>
    </row>
    <row r="146" spans="1:17" x14ac:dyDescent="0.35">
      <c r="A146" s="5" t="s">
        <v>319</v>
      </c>
      <c r="B146" s="6" t="s">
        <v>320</v>
      </c>
      <c r="C146" s="9">
        <v>46344</v>
      </c>
      <c r="D146" s="6" t="s">
        <v>21</v>
      </c>
      <c r="E146" s="6" t="s">
        <v>22</v>
      </c>
      <c r="F146" s="6" t="s">
        <v>23</v>
      </c>
      <c r="G146" s="5" t="s">
        <v>34</v>
      </c>
      <c r="H146" s="5" t="str">
        <f>_xlfn.XLOOKUP(G146,Staff_Lookup!$A$2:$A$7,Staff_Lookup!$B$2:$B$7,"Not Found")</f>
        <v>Carlos Martinez</v>
      </c>
      <c r="I146" s="7">
        <v>12</v>
      </c>
      <c r="J146" s="7">
        <v>10</v>
      </c>
      <c r="K146" s="7">
        <v>62</v>
      </c>
      <c r="L146" s="7">
        <v>83</v>
      </c>
      <c r="M146" s="8">
        <v>125</v>
      </c>
      <c r="N146" s="7">
        <v>5</v>
      </c>
      <c r="O146">
        <f t="shared" si="12"/>
        <v>21</v>
      </c>
      <c r="P146" s="4">
        <f t="shared" si="13"/>
        <v>0.83333333333333337</v>
      </c>
      <c r="Q146" t="str">
        <f t="shared" si="14"/>
        <v>Completed</v>
      </c>
    </row>
    <row r="147" spans="1:17" x14ac:dyDescent="0.35">
      <c r="A147" s="5" t="s">
        <v>321</v>
      </c>
      <c r="B147" s="6" t="s">
        <v>322</v>
      </c>
      <c r="C147" s="9">
        <v>46344</v>
      </c>
      <c r="D147" s="6" t="s">
        <v>15</v>
      </c>
      <c r="E147" s="6" t="s">
        <v>16</v>
      </c>
      <c r="F147" s="6" t="s">
        <v>29</v>
      </c>
      <c r="G147" s="5" t="s">
        <v>30</v>
      </c>
      <c r="H147" s="5" t="str">
        <f>_xlfn.XLOOKUP(G147,Staff_Lookup!$A$2:$A$7,Staff_Lookup!$B$2:$B$7,"Not Found")</f>
        <v>Priya Patel</v>
      </c>
      <c r="I147" s="7">
        <v>8</v>
      </c>
      <c r="J147" s="7">
        <v>5</v>
      </c>
      <c r="K147" s="7">
        <v>73</v>
      </c>
      <c r="L147" s="7">
        <v>82</v>
      </c>
      <c r="M147" s="8">
        <v>150</v>
      </c>
      <c r="N147" s="7">
        <v>2</v>
      </c>
      <c r="O147">
        <f t="shared" si="12"/>
        <v>9</v>
      </c>
      <c r="P147" s="4">
        <f t="shared" si="13"/>
        <v>0.625</v>
      </c>
      <c r="Q147" t="str">
        <f t="shared" si="14"/>
        <v>Needs Follow-Up</v>
      </c>
    </row>
    <row r="148" spans="1:17" x14ac:dyDescent="0.35">
      <c r="A148" s="5" t="s">
        <v>323</v>
      </c>
      <c r="B148" s="6" t="s">
        <v>324</v>
      </c>
      <c r="C148" s="9">
        <v>46345</v>
      </c>
      <c r="D148" s="6" t="s">
        <v>15</v>
      </c>
      <c r="E148" s="6" t="s">
        <v>16</v>
      </c>
      <c r="F148" s="6" t="s">
        <v>23</v>
      </c>
      <c r="G148" s="5" t="s">
        <v>24</v>
      </c>
      <c r="H148" s="5" t="str">
        <f>_xlfn.XLOOKUP(G148,Staff_Lookup!$A$2:$A$7,Staff_Lookup!$B$2:$B$7,"Not Found")</f>
        <v>Michael Brown</v>
      </c>
      <c r="I148" s="7">
        <v>10</v>
      </c>
      <c r="J148" s="7">
        <v>10</v>
      </c>
      <c r="K148" s="7">
        <v>53</v>
      </c>
      <c r="L148" s="7">
        <v>69</v>
      </c>
      <c r="M148" s="8">
        <v>150</v>
      </c>
      <c r="N148" s="7">
        <v>4</v>
      </c>
      <c r="O148">
        <f t="shared" si="12"/>
        <v>16</v>
      </c>
      <c r="P148" s="4">
        <f t="shared" si="13"/>
        <v>1</v>
      </c>
      <c r="Q148" t="str">
        <f t="shared" si="14"/>
        <v>Completed</v>
      </c>
    </row>
    <row r="149" spans="1:17" x14ac:dyDescent="0.35">
      <c r="A149" s="5" t="s">
        <v>325</v>
      </c>
      <c r="B149" s="6" t="s">
        <v>326</v>
      </c>
      <c r="C149" s="9">
        <v>46345</v>
      </c>
      <c r="D149" s="6" t="s">
        <v>27</v>
      </c>
      <c r="E149" s="6" t="s">
        <v>33</v>
      </c>
      <c r="F149" s="6" t="s">
        <v>29</v>
      </c>
      <c r="G149" s="5" t="s">
        <v>18</v>
      </c>
      <c r="H149" s="5" t="str">
        <f>_xlfn.XLOOKUP(G149,Staff_Lookup!$A$2:$A$7,Staff_Lookup!$B$2:$B$7,"Not Found")</f>
        <v>Rachel Morgan</v>
      </c>
      <c r="I149" s="7">
        <v>12</v>
      </c>
      <c r="J149" s="7">
        <v>11</v>
      </c>
      <c r="K149" s="7">
        <v>65</v>
      </c>
      <c r="L149" s="7">
        <v>88</v>
      </c>
      <c r="M149" s="8">
        <v>100</v>
      </c>
      <c r="N149" s="7">
        <v>4</v>
      </c>
      <c r="O149">
        <f t="shared" si="12"/>
        <v>23</v>
      </c>
      <c r="P149" s="4">
        <f t="shared" si="13"/>
        <v>0.91666666666666663</v>
      </c>
      <c r="Q149" t="str">
        <f t="shared" si="14"/>
        <v>Completed</v>
      </c>
    </row>
    <row r="150" spans="1:17" x14ac:dyDescent="0.35">
      <c r="A150" s="5" t="s">
        <v>327</v>
      </c>
      <c r="B150" s="6" t="s">
        <v>328</v>
      </c>
      <c r="C150" s="9">
        <v>46346</v>
      </c>
      <c r="D150" s="6" t="s">
        <v>21</v>
      </c>
      <c r="E150" s="6" t="s">
        <v>28</v>
      </c>
      <c r="F150" s="6" t="s">
        <v>17</v>
      </c>
      <c r="G150" s="5" t="s">
        <v>57</v>
      </c>
      <c r="H150" s="5" t="str">
        <f>_xlfn.XLOOKUP(G150,Staff_Lookup!$A$2:$A$7,Staff_Lookup!$B$2:$B$7,"Not Found")</f>
        <v>Ahmed Hassan</v>
      </c>
      <c r="I150" s="7">
        <v>8</v>
      </c>
      <c r="J150" s="7">
        <v>6</v>
      </c>
      <c r="K150" s="7">
        <v>76</v>
      </c>
      <c r="L150" s="7">
        <v>87</v>
      </c>
      <c r="M150" s="8">
        <v>125</v>
      </c>
      <c r="N150" s="7">
        <v>2</v>
      </c>
      <c r="O150">
        <f t="shared" si="12"/>
        <v>11</v>
      </c>
      <c r="P150" s="4">
        <f t="shared" si="13"/>
        <v>0.75</v>
      </c>
      <c r="Q150" t="str">
        <f t="shared" si="14"/>
        <v>Needs Follow-Up</v>
      </c>
    </row>
    <row r="151" spans="1:17" x14ac:dyDescent="0.35">
      <c r="A151" s="5" t="s">
        <v>329</v>
      </c>
      <c r="B151" s="6" t="s">
        <v>330</v>
      </c>
      <c r="C151" s="9">
        <v>46346</v>
      </c>
      <c r="D151" s="6" t="s">
        <v>15</v>
      </c>
      <c r="E151" s="6" t="s">
        <v>22</v>
      </c>
      <c r="F151" s="6" t="s">
        <v>23</v>
      </c>
      <c r="G151" s="5" t="s">
        <v>59</v>
      </c>
      <c r="H151" s="5" t="str">
        <f>_xlfn.XLOOKUP(G151,Staff_Lookup!$A$2:$A$7,Staff_Lookup!$B$2:$B$7,"Not Found")</f>
        <v>Jennifer Lee</v>
      </c>
      <c r="I151" s="7">
        <v>10</v>
      </c>
      <c r="J151" s="7">
        <v>10</v>
      </c>
      <c r="K151" s="7">
        <v>56</v>
      </c>
      <c r="L151" s="7">
        <v>74</v>
      </c>
      <c r="M151" s="8">
        <v>150</v>
      </c>
      <c r="N151" s="7">
        <v>5</v>
      </c>
      <c r="O151">
        <f t="shared" si="12"/>
        <v>18</v>
      </c>
      <c r="P151" s="4">
        <f t="shared" si="13"/>
        <v>1</v>
      </c>
      <c r="Q151" t="str">
        <f t="shared" si="14"/>
        <v>Completed</v>
      </c>
    </row>
    <row r="152" spans="1:17" x14ac:dyDescent="0.35">
      <c r="A152" s="5" t="s">
        <v>331</v>
      </c>
      <c r="B152" s="6" t="s">
        <v>332</v>
      </c>
      <c r="C152" s="9">
        <v>46347</v>
      </c>
      <c r="D152" s="6" t="s">
        <v>27</v>
      </c>
      <c r="E152" s="6" t="s">
        <v>16</v>
      </c>
      <c r="F152" s="6" t="s">
        <v>17</v>
      </c>
      <c r="G152" s="5" t="s">
        <v>59</v>
      </c>
      <c r="H152" s="5" t="str">
        <f>_xlfn.XLOOKUP(G152,Staff_Lookup!$A$2:$A$7,Staff_Lookup!$B$2:$B$7,"Not Found")</f>
        <v>Jennifer Lee</v>
      </c>
      <c r="I152" s="7">
        <v>8</v>
      </c>
      <c r="J152" s="7">
        <v>7</v>
      </c>
      <c r="K152" s="7">
        <v>68</v>
      </c>
      <c r="L152" s="7">
        <v>75</v>
      </c>
      <c r="M152" s="8">
        <v>100</v>
      </c>
      <c r="N152" s="7">
        <v>3</v>
      </c>
      <c r="O152">
        <f t="shared" si="12"/>
        <v>7</v>
      </c>
      <c r="P152" s="4">
        <f t="shared" si="13"/>
        <v>0.875</v>
      </c>
      <c r="Q152" t="str">
        <f t="shared" si="14"/>
        <v>Completed</v>
      </c>
    </row>
    <row r="153" spans="1:17" x14ac:dyDescent="0.35">
      <c r="A153" s="5" t="s">
        <v>333</v>
      </c>
      <c r="B153" s="6" t="s">
        <v>334</v>
      </c>
      <c r="C153" s="9">
        <v>46347</v>
      </c>
      <c r="D153" s="6" t="s">
        <v>21</v>
      </c>
      <c r="E153" s="6" t="s">
        <v>16</v>
      </c>
      <c r="F153" s="6" t="s">
        <v>23</v>
      </c>
      <c r="G153" s="5" t="s">
        <v>34</v>
      </c>
      <c r="H153" s="5" t="str">
        <f>_xlfn.XLOOKUP(G153,Staff_Lookup!$A$2:$A$7,Staff_Lookup!$B$2:$B$7,"Not Found")</f>
        <v>Carlos Martinez</v>
      </c>
      <c r="I153" s="7">
        <v>10</v>
      </c>
      <c r="J153" s="7">
        <v>8</v>
      </c>
      <c r="K153" s="7">
        <v>48</v>
      </c>
      <c r="L153" s="7">
        <v>62</v>
      </c>
      <c r="M153" s="8">
        <v>125</v>
      </c>
      <c r="N153" s="7">
        <v>4</v>
      </c>
      <c r="O153">
        <f t="shared" si="12"/>
        <v>14</v>
      </c>
      <c r="P153" s="4">
        <f t="shared" si="13"/>
        <v>0.8</v>
      </c>
      <c r="Q153" t="str">
        <f t="shared" si="14"/>
        <v>Completed</v>
      </c>
    </row>
    <row r="154" spans="1:17" x14ac:dyDescent="0.35">
      <c r="A154" s="5" t="s">
        <v>335</v>
      </c>
      <c r="B154" s="6" t="s">
        <v>336</v>
      </c>
      <c r="C154" s="9">
        <v>46348</v>
      </c>
      <c r="D154" s="6" t="s">
        <v>15</v>
      </c>
      <c r="E154" s="6" t="s">
        <v>33</v>
      </c>
      <c r="F154" s="6" t="s">
        <v>29</v>
      </c>
      <c r="G154" s="5" t="s">
        <v>30</v>
      </c>
      <c r="H154" s="5" t="str">
        <f>_xlfn.XLOOKUP(G154,Staff_Lookup!$A$2:$A$7,Staff_Lookup!$B$2:$B$7,"Not Found")</f>
        <v>Priya Patel</v>
      </c>
      <c r="I154" s="7">
        <v>12</v>
      </c>
      <c r="J154" s="7">
        <v>9</v>
      </c>
      <c r="K154" s="7">
        <v>59</v>
      </c>
      <c r="L154" s="7">
        <v>80</v>
      </c>
      <c r="M154" s="8">
        <v>125</v>
      </c>
      <c r="N154" s="7">
        <v>3</v>
      </c>
      <c r="O154">
        <f t="shared" si="12"/>
        <v>21</v>
      </c>
      <c r="P154" s="4">
        <f t="shared" si="13"/>
        <v>0.75</v>
      </c>
      <c r="Q154" t="str">
        <f t="shared" si="14"/>
        <v>Needs Follow-Up</v>
      </c>
    </row>
    <row r="155" spans="1:17" x14ac:dyDescent="0.35">
      <c r="A155" s="5" t="s">
        <v>337</v>
      </c>
      <c r="B155" s="6" t="s">
        <v>338</v>
      </c>
      <c r="C155" s="9">
        <v>46348</v>
      </c>
      <c r="D155" s="6" t="s">
        <v>15</v>
      </c>
      <c r="E155" s="6" t="s">
        <v>28</v>
      </c>
      <c r="F155" s="6" t="s">
        <v>17</v>
      </c>
      <c r="G155" s="5" t="s">
        <v>24</v>
      </c>
      <c r="H155" s="5" t="str">
        <f>_xlfn.XLOOKUP(G155,Staff_Lookup!$A$2:$A$7,Staff_Lookup!$B$2:$B$7,"Not Found")</f>
        <v>Michael Brown</v>
      </c>
      <c r="I155" s="7">
        <v>8</v>
      </c>
      <c r="J155" s="7">
        <v>8</v>
      </c>
      <c r="K155" s="7">
        <v>71</v>
      </c>
      <c r="L155" s="7">
        <v>80</v>
      </c>
      <c r="M155" s="8">
        <v>150</v>
      </c>
      <c r="N155" s="7">
        <v>3</v>
      </c>
      <c r="O155">
        <f t="shared" si="12"/>
        <v>9</v>
      </c>
      <c r="P155" s="4">
        <f t="shared" si="13"/>
        <v>1</v>
      </c>
      <c r="Q155" t="str">
        <f t="shared" si="14"/>
        <v>Completed</v>
      </c>
    </row>
    <row r="156" spans="1:17" x14ac:dyDescent="0.35">
      <c r="A156" s="5" t="s">
        <v>339</v>
      </c>
      <c r="B156" s="6" t="s">
        <v>340</v>
      </c>
      <c r="C156" s="9">
        <v>46349</v>
      </c>
      <c r="D156" s="6" t="s">
        <v>27</v>
      </c>
      <c r="E156" s="6" t="s">
        <v>22</v>
      </c>
      <c r="F156" s="6" t="s">
        <v>29</v>
      </c>
      <c r="G156" s="5" t="s">
        <v>18</v>
      </c>
      <c r="H156" s="5" t="str">
        <f>_xlfn.XLOOKUP(G156,Staff_Lookup!$A$2:$A$7,Staff_Lookup!$B$2:$B$7,"Not Found")</f>
        <v>Rachel Morgan</v>
      </c>
      <c r="I156" s="7">
        <v>10</v>
      </c>
      <c r="J156" s="7">
        <v>9</v>
      </c>
      <c r="K156" s="7">
        <v>51</v>
      </c>
      <c r="L156" s="7">
        <v>67</v>
      </c>
      <c r="M156" s="8">
        <v>100</v>
      </c>
      <c r="N156" s="7">
        <v>5</v>
      </c>
      <c r="O156">
        <f t="shared" si="12"/>
        <v>16</v>
      </c>
      <c r="P156" s="4">
        <f t="shared" si="13"/>
        <v>0.9</v>
      </c>
      <c r="Q156" t="str">
        <f t="shared" si="14"/>
        <v>Completed</v>
      </c>
    </row>
    <row r="157" spans="1:17" x14ac:dyDescent="0.35">
      <c r="A157" s="5" t="s">
        <v>341</v>
      </c>
      <c r="B157" s="6" t="s">
        <v>342</v>
      </c>
      <c r="C157" s="9">
        <v>46349</v>
      </c>
      <c r="D157" s="6" t="s">
        <v>21</v>
      </c>
      <c r="E157" s="6" t="s">
        <v>16</v>
      </c>
      <c r="F157" s="6" t="s">
        <v>17</v>
      </c>
      <c r="G157" s="5" t="s">
        <v>57</v>
      </c>
      <c r="H157" s="5" t="str">
        <f>_xlfn.XLOOKUP(G157,Staff_Lookup!$A$2:$A$7,Staff_Lookup!$B$2:$B$7,"Not Found")</f>
        <v>Ahmed Hassan</v>
      </c>
      <c r="I157" s="7">
        <v>12</v>
      </c>
      <c r="J157" s="7">
        <v>10</v>
      </c>
      <c r="K157" s="7">
        <v>62</v>
      </c>
      <c r="L157" s="7">
        <v>85</v>
      </c>
      <c r="M157" s="8">
        <v>125</v>
      </c>
      <c r="N157" s="7">
        <v>4</v>
      </c>
      <c r="O157">
        <f t="shared" si="12"/>
        <v>23</v>
      </c>
      <c r="P157" s="4">
        <f t="shared" si="13"/>
        <v>0.83333333333333337</v>
      </c>
      <c r="Q157" t="str">
        <f t="shared" si="14"/>
        <v>Completed</v>
      </c>
    </row>
    <row r="158" spans="1:17" x14ac:dyDescent="0.35">
      <c r="A158" s="5" t="s">
        <v>343</v>
      </c>
      <c r="B158" s="6" t="s">
        <v>344</v>
      </c>
      <c r="C158" s="9">
        <v>46350</v>
      </c>
      <c r="D158" s="6" t="s">
        <v>15</v>
      </c>
      <c r="E158" s="6" t="s">
        <v>16</v>
      </c>
      <c r="F158" s="6" t="s">
        <v>23</v>
      </c>
      <c r="G158" s="5" t="s">
        <v>59</v>
      </c>
      <c r="H158" s="5" t="str">
        <f>_xlfn.XLOOKUP(G158,Staff_Lookup!$A$2:$A$7,Staff_Lookup!$B$2:$B$7,"Not Found")</f>
        <v>Jennifer Lee</v>
      </c>
      <c r="I158" s="7">
        <v>10</v>
      </c>
      <c r="J158" s="7">
        <v>7</v>
      </c>
      <c r="K158" s="7">
        <v>74</v>
      </c>
      <c r="L158" s="7">
        <v>85</v>
      </c>
      <c r="M158" s="8">
        <v>150</v>
      </c>
      <c r="N158" s="7">
        <v>2</v>
      </c>
      <c r="O158">
        <f t="shared" si="12"/>
        <v>11</v>
      </c>
      <c r="P158" s="4">
        <f t="shared" si="13"/>
        <v>0.7</v>
      </c>
      <c r="Q158" t="str">
        <f t="shared" si="14"/>
        <v>Needs Follow-Up</v>
      </c>
    </row>
    <row r="159" spans="1:17" x14ac:dyDescent="0.35">
      <c r="A159" s="5" t="s">
        <v>345</v>
      </c>
      <c r="B159" s="6" t="s">
        <v>346</v>
      </c>
      <c r="C159" s="9">
        <v>46350</v>
      </c>
      <c r="D159" s="6" t="s">
        <v>27</v>
      </c>
      <c r="E159" s="6" t="s">
        <v>33</v>
      </c>
      <c r="F159" s="6" t="s">
        <v>29</v>
      </c>
      <c r="G159" s="5" t="s">
        <v>34</v>
      </c>
      <c r="H159" s="5" t="str">
        <f>_xlfn.XLOOKUP(G159,Staff_Lookup!$A$2:$A$7,Staff_Lookup!$B$2:$B$7,"Not Found")</f>
        <v>Carlos Martinez</v>
      </c>
      <c r="I159" s="7">
        <v>12</v>
      </c>
      <c r="J159" s="7">
        <v>12</v>
      </c>
      <c r="K159" s="7">
        <v>54</v>
      </c>
      <c r="L159" s="7">
        <v>72</v>
      </c>
      <c r="M159" s="8">
        <v>100</v>
      </c>
      <c r="N159" s="7">
        <v>4</v>
      </c>
      <c r="O159">
        <f t="shared" si="12"/>
        <v>18</v>
      </c>
      <c r="P159" s="4">
        <f t="shared" si="13"/>
        <v>1</v>
      </c>
      <c r="Q159" t="str">
        <f t="shared" si="14"/>
        <v>Completed</v>
      </c>
    </row>
    <row r="160" spans="1:17" x14ac:dyDescent="0.35">
      <c r="A160" s="5" t="s">
        <v>347</v>
      </c>
      <c r="B160" s="6" t="s">
        <v>348</v>
      </c>
      <c r="C160" s="9">
        <v>46351</v>
      </c>
      <c r="D160" s="6" t="s">
        <v>21</v>
      </c>
      <c r="E160" s="6" t="s">
        <v>28</v>
      </c>
      <c r="F160" s="6" t="s">
        <v>23</v>
      </c>
      <c r="G160" s="5" t="s">
        <v>30</v>
      </c>
      <c r="H160" s="5" t="str">
        <f>_xlfn.XLOOKUP(G160,Staff_Lookup!$A$2:$A$7,Staff_Lookup!$B$2:$B$7,"Not Found")</f>
        <v>Priya Patel</v>
      </c>
      <c r="I160" s="7">
        <v>8</v>
      </c>
      <c r="J160" s="7">
        <v>7</v>
      </c>
      <c r="K160" s="7">
        <v>65</v>
      </c>
      <c r="L160" s="7">
        <v>72</v>
      </c>
      <c r="M160" s="8">
        <v>125</v>
      </c>
      <c r="N160" s="7">
        <v>3</v>
      </c>
      <c r="O160">
        <f t="shared" si="12"/>
        <v>7</v>
      </c>
      <c r="P160" s="4">
        <f t="shared" si="13"/>
        <v>0.875</v>
      </c>
      <c r="Q160" t="str">
        <f t="shared" si="14"/>
        <v>Completed</v>
      </c>
    </row>
    <row r="161" spans="1:17" x14ac:dyDescent="0.35">
      <c r="A161" s="5" t="s">
        <v>349</v>
      </c>
      <c r="B161" s="6" t="s">
        <v>350</v>
      </c>
      <c r="C161" s="9">
        <v>46351</v>
      </c>
      <c r="D161" s="6" t="s">
        <v>15</v>
      </c>
      <c r="E161" s="6" t="s">
        <v>22</v>
      </c>
      <c r="F161" s="6" t="s">
        <v>29</v>
      </c>
      <c r="G161" s="5" t="s">
        <v>30</v>
      </c>
      <c r="H161" s="5" t="str">
        <f>_xlfn.XLOOKUP(G161,Staff_Lookup!$A$2:$A$7,Staff_Lookup!$B$2:$B$7,"Not Found")</f>
        <v>Priya Patel</v>
      </c>
      <c r="I161" s="7">
        <v>10</v>
      </c>
      <c r="J161" s="7">
        <v>8</v>
      </c>
      <c r="K161" s="7">
        <v>77</v>
      </c>
      <c r="L161" s="7">
        <v>91</v>
      </c>
      <c r="M161" s="8">
        <v>150</v>
      </c>
      <c r="N161" s="7">
        <v>5</v>
      </c>
      <c r="O161">
        <f t="shared" si="12"/>
        <v>14</v>
      </c>
      <c r="P161" s="4">
        <f t="shared" si="13"/>
        <v>0.8</v>
      </c>
      <c r="Q161" t="str">
        <f t="shared" si="14"/>
        <v>Completed</v>
      </c>
    </row>
    <row r="162" spans="1:17" x14ac:dyDescent="0.35">
      <c r="A162" s="5" t="s">
        <v>351</v>
      </c>
      <c r="B162" s="6" t="s">
        <v>352</v>
      </c>
      <c r="C162" s="9">
        <v>46352</v>
      </c>
      <c r="D162" s="6" t="s">
        <v>15</v>
      </c>
      <c r="E162" s="6" t="s">
        <v>16</v>
      </c>
      <c r="F162" s="6" t="s">
        <v>17</v>
      </c>
      <c r="G162" s="5" t="s">
        <v>24</v>
      </c>
      <c r="H162" s="5" t="str">
        <f>_xlfn.XLOOKUP(G162,Staff_Lookup!$A$2:$A$7,Staff_Lookup!$B$2:$B$7,"Not Found")</f>
        <v>Michael Brown</v>
      </c>
      <c r="I162" s="7">
        <v>12</v>
      </c>
      <c r="J162" s="7">
        <v>12</v>
      </c>
      <c r="K162" s="7">
        <v>57</v>
      </c>
      <c r="L162" s="7">
        <v>78</v>
      </c>
      <c r="M162" s="8">
        <v>150</v>
      </c>
      <c r="N162" s="7">
        <v>4</v>
      </c>
      <c r="O162">
        <f t="shared" ref="O162:O193" si="15">L162-K162</f>
        <v>21</v>
      </c>
      <c r="P162" s="4">
        <f t="shared" ref="P162:P193" si="16">J162/I162</f>
        <v>1</v>
      </c>
      <c r="Q162" t="str">
        <f t="shared" ref="Q162:Q193" si="17">IF(P162&gt;=$T$15, "Completed", "Needs Follow-Up")</f>
        <v>Completed</v>
      </c>
    </row>
    <row r="163" spans="1:17" x14ac:dyDescent="0.35">
      <c r="A163" s="5" t="s">
        <v>353</v>
      </c>
      <c r="B163" s="6" t="s">
        <v>354</v>
      </c>
      <c r="C163" s="9">
        <v>46352</v>
      </c>
      <c r="D163" s="6" t="s">
        <v>27</v>
      </c>
      <c r="E163" s="6" t="s">
        <v>16</v>
      </c>
      <c r="F163" s="6" t="s">
        <v>23</v>
      </c>
      <c r="G163" s="5" t="s">
        <v>18</v>
      </c>
      <c r="H163" s="5" t="str">
        <f>_xlfn.XLOOKUP(G163,Staff_Lookup!$A$2:$A$7,Staff_Lookup!$B$2:$B$7,"Not Found")</f>
        <v>Rachel Morgan</v>
      </c>
      <c r="I163" s="7">
        <v>8</v>
      </c>
      <c r="J163" s="7">
        <v>7</v>
      </c>
      <c r="K163" s="7">
        <v>68</v>
      </c>
      <c r="L163" s="7">
        <v>77</v>
      </c>
      <c r="M163" s="8">
        <v>100</v>
      </c>
      <c r="N163" s="7">
        <v>3</v>
      </c>
      <c r="O163">
        <f t="shared" si="15"/>
        <v>9</v>
      </c>
      <c r="P163" s="4">
        <f t="shared" si="16"/>
        <v>0.875</v>
      </c>
      <c r="Q163" t="str">
        <f t="shared" si="17"/>
        <v>Completed</v>
      </c>
    </row>
    <row r="164" spans="1:17" x14ac:dyDescent="0.35">
      <c r="A164" s="5" t="s">
        <v>355</v>
      </c>
      <c r="B164" s="6" t="s">
        <v>356</v>
      </c>
      <c r="C164" s="9">
        <v>46353</v>
      </c>
      <c r="D164" s="6" t="s">
        <v>21</v>
      </c>
      <c r="E164" s="6" t="s">
        <v>33</v>
      </c>
      <c r="F164" s="6" t="s">
        <v>17</v>
      </c>
      <c r="G164" s="5" t="s">
        <v>57</v>
      </c>
      <c r="H164" s="5" t="str">
        <f>_xlfn.XLOOKUP(G164,Staff_Lookup!$A$2:$A$7,Staff_Lookup!$B$2:$B$7,"Not Found")</f>
        <v>Ahmed Hassan</v>
      </c>
      <c r="I164" s="7">
        <v>12</v>
      </c>
      <c r="J164" s="7">
        <v>10</v>
      </c>
      <c r="K164" s="7">
        <v>49</v>
      </c>
      <c r="L164" s="7">
        <v>65</v>
      </c>
      <c r="M164" s="8">
        <v>125</v>
      </c>
      <c r="N164" s="7">
        <v>4</v>
      </c>
      <c r="O164">
        <f t="shared" si="15"/>
        <v>16</v>
      </c>
      <c r="P164" s="4">
        <f t="shared" si="16"/>
        <v>0.83333333333333337</v>
      </c>
      <c r="Q164" t="str">
        <f t="shared" si="17"/>
        <v>Completed</v>
      </c>
    </row>
    <row r="165" spans="1:17" x14ac:dyDescent="0.35">
      <c r="A165" s="5" t="s">
        <v>357</v>
      </c>
      <c r="B165" s="6" t="s">
        <v>358</v>
      </c>
      <c r="C165" s="9">
        <v>46353</v>
      </c>
      <c r="D165" s="6" t="s">
        <v>15</v>
      </c>
      <c r="E165" s="6" t="s">
        <v>28</v>
      </c>
      <c r="F165" s="6" t="s">
        <v>23</v>
      </c>
      <c r="G165" s="5" t="s">
        <v>59</v>
      </c>
      <c r="H165" s="5" t="str">
        <f>_xlfn.XLOOKUP(G165,Staff_Lookup!$A$2:$A$7,Staff_Lookup!$B$2:$B$7,"Not Found")</f>
        <v>Jennifer Lee</v>
      </c>
      <c r="I165" s="7">
        <v>8</v>
      </c>
      <c r="J165" s="7">
        <v>5</v>
      </c>
      <c r="K165" s="7">
        <v>60</v>
      </c>
      <c r="L165" s="7">
        <v>83</v>
      </c>
      <c r="M165" s="8">
        <v>150</v>
      </c>
      <c r="N165" s="7">
        <v>3</v>
      </c>
      <c r="O165">
        <f t="shared" si="15"/>
        <v>23</v>
      </c>
      <c r="P165" s="4">
        <f t="shared" si="16"/>
        <v>0.625</v>
      </c>
      <c r="Q165" t="str">
        <f t="shared" si="17"/>
        <v>Needs Follow-Up</v>
      </c>
    </row>
    <row r="166" spans="1:17" x14ac:dyDescent="0.35">
      <c r="A166" s="5" t="s">
        <v>359</v>
      </c>
      <c r="B166" s="6" t="s">
        <v>360</v>
      </c>
      <c r="C166" s="9">
        <v>46354</v>
      </c>
      <c r="D166" s="6" t="s">
        <v>27</v>
      </c>
      <c r="E166" s="6" t="s">
        <v>22</v>
      </c>
      <c r="F166" s="6" t="s">
        <v>29</v>
      </c>
      <c r="G166" s="5" t="s">
        <v>34</v>
      </c>
      <c r="H166" s="5" t="str">
        <f>_xlfn.XLOOKUP(G166,Staff_Lookup!$A$2:$A$7,Staff_Lookup!$B$2:$B$7,"Not Found")</f>
        <v>Carlos Martinez</v>
      </c>
      <c r="I166" s="7">
        <v>10</v>
      </c>
      <c r="J166" s="7">
        <v>10</v>
      </c>
      <c r="K166" s="7">
        <v>71</v>
      </c>
      <c r="L166" s="7">
        <v>82</v>
      </c>
      <c r="M166" s="8">
        <v>100</v>
      </c>
      <c r="N166" s="7">
        <v>4</v>
      </c>
      <c r="O166">
        <f t="shared" si="15"/>
        <v>11</v>
      </c>
      <c r="P166" s="4">
        <f t="shared" si="16"/>
        <v>1</v>
      </c>
      <c r="Q166" t="str">
        <f t="shared" si="17"/>
        <v>Completed</v>
      </c>
    </row>
    <row r="167" spans="1:17" x14ac:dyDescent="0.35">
      <c r="A167" s="5" t="s">
        <v>361</v>
      </c>
      <c r="B167" s="6" t="s">
        <v>362</v>
      </c>
      <c r="C167" s="9">
        <v>46354</v>
      </c>
      <c r="D167" s="6" t="s">
        <v>21</v>
      </c>
      <c r="E167" s="6" t="s">
        <v>16</v>
      </c>
      <c r="F167" s="6" t="s">
        <v>17</v>
      </c>
      <c r="G167" s="5" t="s">
        <v>30</v>
      </c>
      <c r="H167" s="5" t="str">
        <f>_xlfn.XLOOKUP(G167,Staff_Lookup!$A$2:$A$7,Staff_Lookup!$B$2:$B$7,"Not Found")</f>
        <v>Priya Patel</v>
      </c>
      <c r="I167" s="7">
        <v>12</v>
      </c>
      <c r="J167" s="7">
        <v>11</v>
      </c>
      <c r="K167" s="7">
        <v>52</v>
      </c>
      <c r="L167" s="7">
        <v>70</v>
      </c>
      <c r="M167" s="8">
        <v>125</v>
      </c>
      <c r="N167" s="7">
        <v>4</v>
      </c>
      <c r="O167">
        <f t="shared" si="15"/>
        <v>18</v>
      </c>
      <c r="P167" s="4">
        <f t="shared" si="16"/>
        <v>0.91666666666666663</v>
      </c>
      <c r="Q167" t="str">
        <f t="shared" si="17"/>
        <v>Completed</v>
      </c>
    </row>
    <row r="168" spans="1:17" x14ac:dyDescent="0.35">
      <c r="A168" s="5" t="s">
        <v>363</v>
      </c>
      <c r="B168" s="6" t="s">
        <v>364</v>
      </c>
      <c r="C168" s="9">
        <v>46355</v>
      </c>
      <c r="D168" s="6" t="s">
        <v>15</v>
      </c>
      <c r="E168" s="6" t="s">
        <v>16</v>
      </c>
      <c r="F168" s="6" t="s">
        <v>29</v>
      </c>
      <c r="G168" s="5" t="s">
        <v>24</v>
      </c>
      <c r="H168" s="5" t="str">
        <f>_xlfn.XLOOKUP(G168,Staff_Lookup!$A$2:$A$7,Staff_Lookup!$B$2:$B$7,"Not Found")</f>
        <v>Michael Brown</v>
      </c>
      <c r="I168" s="7">
        <v>8</v>
      </c>
      <c r="J168" s="7">
        <v>6</v>
      </c>
      <c r="K168" s="7">
        <v>63</v>
      </c>
      <c r="L168" s="7">
        <v>70</v>
      </c>
      <c r="M168" s="8">
        <v>150</v>
      </c>
      <c r="N168" s="7">
        <v>2</v>
      </c>
      <c r="O168">
        <f t="shared" si="15"/>
        <v>7</v>
      </c>
      <c r="P168" s="4">
        <f t="shared" si="16"/>
        <v>0.75</v>
      </c>
      <c r="Q168" t="str">
        <f t="shared" si="17"/>
        <v>Needs Follow-Up</v>
      </c>
    </row>
    <row r="169" spans="1:17" x14ac:dyDescent="0.35">
      <c r="A169" s="5" t="s">
        <v>365</v>
      </c>
      <c r="B169" s="6" t="s">
        <v>366</v>
      </c>
      <c r="C169" s="9">
        <v>46355</v>
      </c>
      <c r="D169" s="6" t="s">
        <v>15</v>
      </c>
      <c r="E169" s="6" t="s">
        <v>33</v>
      </c>
      <c r="F169" s="6" t="s">
        <v>17</v>
      </c>
      <c r="G169" s="5" t="s">
        <v>18</v>
      </c>
      <c r="H169" s="5" t="str">
        <f>_xlfn.XLOOKUP(G169,Staff_Lookup!$A$2:$A$7,Staff_Lookup!$B$2:$B$7,"Not Found")</f>
        <v>Rachel Morgan</v>
      </c>
      <c r="I169" s="7">
        <v>10</v>
      </c>
      <c r="J169" s="7">
        <v>7</v>
      </c>
      <c r="K169" s="7">
        <v>74</v>
      </c>
      <c r="L169" s="7">
        <v>88</v>
      </c>
      <c r="M169" s="8">
        <v>150</v>
      </c>
      <c r="N169" s="7">
        <v>3</v>
      </c>
      <c r="O169">
        <f t="shared" si="15"/>
        <v>14</v>
      </c>
      <c r="P169" s="4">
        <f t="shared" si="16"/>
        <v>0.7</v>
      </c>
      <c r="Q169" t="str">
        <f t="shared" si="17"/>
        <v>Needs Follow-Up</v>
      </c>
    </row>
    <row r="170" spans="1:17" x14ac:dyDescent="0.35">
      <c r="A170" s="5" t="s">
        <v>367</v>
      </c>
      <c r="B170" s="6" t="s">
        <v>368</v>
      </c>
      <c r="C170" s="9">
        <v>46356</v>
      </c>
      <c r="D170" s="6" t="s">
        <v>27</v>
      </c>
      <c r="E170" s="6" t="s">
        <v>28</v>
      </c>
      <c r="F170" s="6" t="s">
        <v>23</v>
      </c>
      <c r="G170" s="5" t="s">
        <v>18</v>
      </c>
      <c r="H170" s="5" t="str">
        <f>_xlfn.XLOOKUP(G170,Staff_Lookup!$A$2:$A$7,Staff_Lookup!$B$2:$B$7,"Not Found")</f>
        <v>Rachel Morgan</v>
      </c>
      <c r="I170" s="7">
        <v>8</v>
      </c>
      <c r="J170" s="7">
        <v>8</v>
      </c>
      <c r="K170" s="7">
        <v>55</v>
      </c>
      <c r="L170" s="7">
        <v>76</v>
      </c>
      <c r="M170" s="8">
        <v>100</v>
      </c>
      <c r="N170" s="7">
        <v>4</v>
      </c>
      <c r="O170">
        <f t="shared" si="15"/>
        <v>21</v>
      </c>
      <c r="P170" s="4">
        <f t="shared" si="16"/>
        <v>1</v>
      </c>
      <c r="Q170" t="str">
        <f t="shared" si="17"/>
        <v>Completed</v>
      </c>
    </row>
    <row r="171" spans="1:17" x14ac:dyDescent="0.35">
      <c r="A171" s="5" t="s">
        <v>369</v>
      </c>
      <c r="B171" s="6" t="s">
        <v>370</v>
      </c>
      <c r="C171" s="9">
        <v>46356</v>
      </c>
      <c r="D171" s="6" t="s">
        <v>21</v>
      </c>
      <c r="E171" s="6" t="s">
        <v>22</v>
      </c>
      <c r="F171" s="6" t="s">
        <v>29</v>
      </c>
      <c r="G171" s="5" t="s">
        <v>57</v>
      </c>
      <c r="H171" s="5" t="str">
        <f>_xlfn.XLOOKUP(G171,Staff_Lookup!$A$2:$A$7,Staff_Lookup!$B$2:$B$7,"Not Found")</f>
        <v>Ahmed Hassan</v>
      </c>
      <c r="I171" s="7">
        <v>10</v>
      </c>
      <c r="J171" s="7">
        <v>9</v>
      </c>
      <c r="K171" s="7">
        <v>66</v>
      </c>
      <c r="L171" s="7">
        <v>75</v>
      </c>
      <c r="M171" s="8">
        <v>100</v>
      </c>
      <c r="N171" s="7">
        <v>4</v>
      </c>
      <c r="O171">
        <f t="shared" si="15"/>
        <v>9</v>
      </c>
      <c r="P171" s="4">
        <f t="shared" si="16"/>
        <v>0.9</v>
      </c>
      <c r="Q171" t="str">
        <f t="shared" si="17"/>
        <v>Completed</v>
      </c>
    </row>
    <row r="172" spans="1:17" x14ac:dyDescent="0.35">
      <c r="A172" s="5" t="s">
        <v>371</v>
      </c>
      <c r="B172" s="6" t="s">
        <v>372</v>
      </c>
      <c r="C172" s="9">
        <v>46357</v>
      </c>
      <c r="D172" s="6" t="s">
        <v>15</v>
      </c>
      <c r="E172" s="6" t="s">
        <v>16</v>
      </c>
      <c r="F172" s="6" t="s">
        <v>23</v>
      </c>
      <c r="G172" s="5" t="s">
        <v>59</v>
      </c>
      <c r="H172" s="5" t="str">
        <f>_xlfn.XLOOKUP(G172,Staff_Lookup!$A$2:$A$7,Staff_Lookup!$B$2:$B$7,"Not Found")</f>
        <v>Jennifer Lee</v>
      </c>
      <c r="I172" s="7">
        <v>12</v>
      </c>
      <c r="J172" s="7">
        <v>10</v>
      </c>
      <c r="K172" s="7">
        <v>77</v>
      </c>
      <c r="L172" s="7">
        <v>93</v>
      </c>
      <c r="M172" s="8">
        <v>150</v>
      </c>
      <c r="N172" s="7">
        <v>4</v>
      </c>
      <c r="O172">
        <f t="shared" si="15"/>
        <v>16</v>
      </c>
      <c r="P172" s="4">
        <f t="shared" si="16"/>
        <v>0.83333333333333337</v>
      </c>
      <c r="Q172" t="str">
        <f t="shared" si="17"/>
        <v>Completed</v>
      </c>
    </row>
    <row r="173" spans="1:17" x14ac:dyDescent="0.35">
      <c r="A173" s="5" t="s">
        <v>373</v>
      </c>
      <c r="B173" s="6" t="s">
        <v>374</v>
      </c>
      <c r="C173" s="9">
        <v>46357</v>
      </c>
      <c r="D173" s="6" t="s">
        <v>27</v>
      </c>
      <c r="E173" s="6" t="s">
        <v>16</v>
      </c>
      <c r="F173" s="6" t="s">
        <v>29</v>
      </c>
      <c r="G173" s="5" t="s">
        <v>34</v>
      </c>
      <c r="H173" s="5" t="str">
        <f>_xlfn.XLOOKUP(G173,Staff_Lookup!$A$2:$A$7,Staff_Lookup!$B$2:$B$7,"Not Found")</f>
        <v>Carlos Martinez</v>
      </c>
      <c r="I173" s="7">
        <v>8</v>
      </c>
      <c r="J173" s="7">
        <v>8</v>
      </c>
      <c r="K173" s="7">
        <v>58</v>
      </c>
      <c r="L173" s="7">
        <v>81</v>
      </c>
      <c r="M173" s="8">
        <v>100</v>
      </c>
      <c r="N173" s="7">
        <v>4</v>
      </c>
      <c r="O173">
        <f t="shared" si="15"/>
        <v>23</v>
      </c>
      <c r="P173" s="4">
        <f t="shared" si="16"/>
        <v>1</v>
      </c>
      <c r="Q173" t="str">
        <f t="shared" si="17"/>
        <v>Completed</v>
      </c>
    </row>
    <row r="174" spans="1:17" x14ac:dyDescent="0.35">
      <c r="A174" s="5" t="s">
        <v>375</v>
      </c>
      <c r="B174" s="6" t="s">
        <v>376</v>
      </c>
      <c r="C174" s="9">
        <v>46358</v>
      </c>
      <c r="D174" s="6" t="s">
        <v>21</v>
      </c>
      <c r="E174" s="6" t="s">
        <v>33</v>
      </c>
      <c r="F174" s="6" t="s">
        <v>17</v>
      </c>
      <c r="G174" s="5" t="s">
        <v>30</v>
      </c>
      <c r="H174" s="5" t="str">
        <f>_xlfn.XLOOKUP(G174,Staff_Lookup!$A$2:$A$7,Staff_Lookup!$B$2:$B$7,"Not Found")</f>
        <v>Priya Patel</v>
      </c>
      <c r="I174" s="7">
        <v>10</v>
      </c>
      <c r="J174" s="7">
        <v>9</v>
      </c>
      <c r="K174" s="7">
        <v>69</v>
      </c>
      <c r="L174" s="7">
        <v>80</v>
      </c>
      <c r="M174" s="8">
        <v>125</v>
      </c>
      <c r="N174" s="7">
        <v>3</v>
      </c>
      <c r="O174">
        <f t="shared" si="15"/>
        <v>11</v>
      </c>
      <c r="P174" s="4">
        <f t="shared" si="16"/>
        <v>0.9</v>
      </c>
      <c r="Q174" t="str">
        <f t="shared" si="17"/>
        <v>Completed</v>
      </c>
    </row>
    <row r="175" spans="1:17" x14ac:dyDescent="0.35">
      <c r="A175" s="5" t="s">
        <v>377</v>
      </c>
      <c r="B175" s="6" t="s">
        <v>378</v>
      </c>
      <c r="C175" s="9">
        <v>46358</v>
      </c>
      <c r="D175" s="6" t="s">
        <v>15</v>
      </c>
      <c r="E175" s="6" t="s">
        <v>28</v>
      </c>
      <c r="F175" s="6" t="s">
        <v>23</v>
      </c>
      <c r="G175" s="5" t="s">
        <v>24</v>
      </c>
      <c r="H175" s="5" t="str">
        <f>_xlfn.XLOOKUP(G175,Staff_Lookup!$A$2:$A$7,Staff_Lookup!$B$2:$B$7,"Not Found")</f>
        <v>Michael Brown</v>
      </c>
      <c r="I175" s="7">
        <v>12</v>
      </c>
      <c r="J175" s="7">
        <v>10</v>
      </c>
      <c r="K175" s="7">
        <v>49</v>
      </c>
      <c r="L175" s="7">
        <v>67</v>
      </c>
      <c r="M175" s="8">
        <v>150</v>
      </c>
      <c r="N175" s="7">
        <v>4</v>
      </c>
      <c r="O175">
        <f t="shared" si="15"/>
        <v>18</v>
      </c>
      <c r="P175" s="4">
        <f t="shared" si="16"/>
        <v>0.83333333333333337</v>
      </c>
      <c r="Q175" t="str">
        <f t="shared" si="17"/>
        <v>Completed</v>
      </c>
    </row>
    <row r="176" spans="1:17" x14ac:dyDescent="0.35">
      <c r="A176" s="5" t="s">
        <v>379</v>
      </c>
      <c r="B176" s="6" t="s">
        <v>380</v>
      </c>
      <c r="C176" s="9">
        <v>46359</v>
      </c>
      <c r="D176" s="6" t="s">
        <v>15</v>
      </c>
      <c r="E176" s="6" t="s">
        <v>22</v>
      </c>
      <c r="F176" s="6" t="s">
        <v>17</v>
      </c>
      <c r="G176" s="5" t="s">
        <v>18</v>
      </c>
      <c r="H176" s="5" t="str">
        <f>_xlfn.XLOOKUP(G176,Staff_Lookup!$A$2:$A$7,Staff_Lookup!$B$2:$B$7,"Not Found")</f>
        <v>Rachel Morgan</v>
      </c>
      <c r="I176" s="7">
        <v>10</v>
      </c>
      <c r="J176" s="7">
        <v>7</v>
      </c>
      <c r="K176" s="7">
        <v>61</v>
      </c>
      <c r="L176" s="7">
        <v>68</v>
      </c>
      <c r="M176" s="8">
        <v>150</v>
      </c>
      <c r="N176" s="7">
        <v>3</v>
      </c>
      <c r="O176">
        <f t="shared" si="15"/>
        <v>7</v>
      </c>
      <c r="P176" s="4">
        <f t="shared" si="16"/>
        <v>0.7</v>
      </c>
      <c r="Q176" t="str">
        <f t="shared" si="17"/>
        <v>Needs Follow-Up</v>
      </c>
    </row>
    <row r="177" spans="1:17" x14ac:dyDescent="0.35">
      <c r="A177" s="5" t="s">
        <v>381</v>
      </c>
      <c r="B177" s="6" t="s">
        <v>382</v>
      </c>
      <c r="C177" s="9">
        <v>46359</v>
      </c>
      <c r="D177" s="6" t="s">
        <v>27</v>
      </c>
      <c r="E177" s="6" t="s">
        <v>16</v>
      </c>
      <c r="F177" s="6" t="s">
        <v>23</v>
      </c>
      <c r="G177" s="5" t="s">
        <v>57</v>
      </c>
      <c r="H177" s="5" t="str">
        <f>_xlfn.XLOOKUP(G177,Staff_Lookup!$A$2:$A$7,Staff_Lookup!$B$2:$B$7,"Not Found")</f>
        <v>Ahmed Hassan</v>
      </c>
      <c r="I177" s="7">
        <v>12</v>
      </c>
      <c r="J177" s="7">
        <v>12</v>
      </c>
      <c r="K177" s="7">
        <v>72</v>
      </c>
      <c r="L177" s="7">
        <v>86</v>
      </c>
      <c r="M177" s="8">
        <v>100</v>
      </c>
      <c r="N177" s="7">
        <v>4</v>
      </c>
      <c r="O177">
        <f t="shared" si="15"/>
        <v>14</v>
      </c>
      <c r="P177" s="4">
        <f t="shared" si="16"/>
        <v>1</v>
      </c>
      <c r="Q177" t="str">
        <f t="shared" si="17"/>
        <v>Completed</v>
      </c>
    </row>
    <row r="178" spans="1:17" x14ac:dyDescent="0.35">
      <c r="A178" s="5" t="s">
        <v>383</v>
      </c>
      <c r="B178" s="6" t="s">
        <v>384</v>
      </c>
      <c r="C178" s="9">
        <v>46360</v>
      </c>
      <c r="D178" s="6" t="s">
        <v>21</v>
      </c>
      <c r="E178" s="6" t="s">
        <v>16</v>
      </c>
      <c r="F178" s="6" t="s">
        <v>29</v>
      </c>
      <c r="G178" s="5" t="s">
        <v>59</v>
      </c>
      <c r="H178" s="5" t="str">
        <f>_xlfn.XLOOKUP(G178,Staff_Lookup!$A$2:$A$7,Staff_Lookup!$B$2:$B$7,"Not Found")</f>
        <v>Jennifer Lee</v>
      </c>
      <c r="I178" s="7">
        <v>8</v>
      </c>
      <c r="J178" s="7">
        <v>7</v>
      </c>
      <c r="K178" s="7">
        <v>52</v>
      </c>
      <c r="L178" s="7">
        <v>73</v>
      </c>
      <c r="M178" s="8">
        <v>125</v>
      </c>
      <c r="N178" s="7">
        <v>4</v>
      </c>
      <c r="O178">
        <f t="shared" si="15"/>
        <v>21</v>
      </c>
      <c r="P178" s="4">
        <f t="shared" si="16"/>
        <v>0.875</v>
      </c>
      <c r="Q178" t="str">
        <f t="shared" si="17"/>
        <v>Completed</v>
      </c>
    </row>
    <row r="179" spans="1:17" x14ac:dyDescent="0.35">
      <c r="A179" s="5" t="s">
        <v>385</v>
      </c>
      <c r="B179" s="6" t="s">
        <v>386</v>
      </c>
      <c r="C179" s="9">
        <v>46360</v>
      </c>
      <c r="D179" s="6" t="s">
        <v>15</v>
      </c>
      <c r="E179" s="6" t="s">
        <v>33</v>
      </c>
      <c r="F179" s="6" t="s">
        <v>17</v>
      </c>
      <c r="G179" s="5" t="s">
        <v>59</v>
      </c>
      <c r="H179" s="5" t="str">
        <f>_xlfn.XLOOKUP(G179,Staff_Lookup!$A$2:$A$7,Staff_Lookup!$B$2:$B$7,"Not Found")</f>
        <v>Jennifer Lee</v>
      </c>
      <c r="I179" s="7">
        <v>10</v>
      </c>
      <c r="J179" s="7">
        <v>8</v>
      </c>
      <c r="K179" s="7">
        <v>64</v>
      </c>
      <c r="L179" s="7">
        <v>73</v>
      </c>
      <c r="M179" s="8">
        <v>150</v>
      </c>
      <c r="N179" s="7">
        <v>3</v>
      </c>
      <c r="O179">
        <f t="shared" si="15"/>
        <v>9</v>
      </c>
      <c r="P179" s="4">
        <f t="shared" si="16"/>
        <v>0.8</v>
      </c>
      <c r="Q179" t="str">
        <f t="shared" si="17"/>
        <v>Completed</v>
      </c>
    </row>
    <row r="180" spans="1:17" x14ac:dyDescent="0.35">
      <c r="A180" s="5" t="s">
        <v>387</v>
      </c>
      <c r="B180" s="6" t="s">
        <v>388</v>
      </c>
      <c r="C180" s="9">
        <v>46361</v>
      </c>
      <c r="D180" s="6" t="s">
        <v>27</v>
      </c>
      <c r="E180" s="6" t="s">
        <v>28</v>
      </c>
      <c r="F180" s="6" t="s">
        <v>29</v>
      </c>
      <c r="G180" s="5" t="s">
        <v>34</v>
      </c>
      <c r="H180" s="5" t="str">
        <f>_xlfn.XLOOKUP(G180,Staff_Lookup!$A$2:$A$7,Staff_Lookup!$B$2:$B$7,"Not Found")</f>
        <v>Carlos Martinez</v>
      </c>
      <c r="I180" s="7">
        <v>12</v>
      </c>
      <c r="J180" s="7">
        <v>9</v>
      </c>
      <c r="K180" s="7">
        <v>75</v>
      </c>
      <c r="L180" s="7">
        <v>91</v>
      </c>
      <c r="M180" s="8">
        <v>100</v>
      </c>
      <c r="N180" s="7">
        <v>3</v>
      </c>
      <c r="O180">
        <f t="shared" si="15"/>
        <v>16</v>
      </c>
      <c r="P180" s="4">
        <f t="shared" si="16"/>
        <v>0.75</v>
      </c>
      <c r="Q180" t="str">
        <f t="shared" si="17"/>
        <v>Needs Follow-Up</v>
      </c>
    </row>
    <row r="181" spans="1:17" x14ac:dyDescent="0.35">
      <c r="A181" s="5" t="s">
        <v>389</v>
      </c>
      <c r="B181" s="6" t="s">
        <v>390</v>
      </c>
      <c r="C181" s="9">
        <v>46361</v>
      </c>
      <c r="D181" s="6" t="s">
        <v>21</v>
      </c>
      <c r="E181" s="6" t="s">
        <v>22</v>
      </c>
      <c r="F181" s="6" t="s">
        <v>17</v>
      </c>
      <c r="G181" s="5" t="s">
        <v>30</v>
      </c>
      <c r="H181" s="5" t="str">
        <f>_xlfn.XLOOKUP(G181,Staff_Lookup!$A$2:$A$7,Staff_Lookup!$B$2:$B$7,"Not Found")</f>
        <v>Priya Patel</v>
      </c>
      <c r="I181" s="7">
        <v>8</v>
      </c>
      <c r="J181" s="7">
        <v>8</v>
      </c>
      <c r="K181" s="7">
        <v>55</v>
      </c>
      <c r="L181" s="7">
        <v>78</v>
      </c>
      <c r="M181" s="8">
        <v>125</v>
      </c>
      <c r="N181" s="7">
        <v>5</v>
      </c>
      <c r="O181">
        <f t="shared" si="15"/>
        <v>23</v>
      </c>
      <c r="P181" s="4">
        <f t="shared" si="16"/>
        <v>1</v>
      </c>
      <c r="Q181" t="str">
        <f t="shared" si="17"/>
        <v>Completed</v>
      </c>
    </row>
    <row r="182" spans="1:17" x14ac:dyDescent="0.35">
      <c r="A182" s="5" t="s">
        <v>391</v>
      </c>
      <c r="B182" s="6" t="s">
        <v>392</v>
      </c>
      <c r="C182" s="9">
        <v>46362</v>
      </c>
      <c r="D182" s="6" t="s">
        <v>15</v>
      </c>
      <c r="E182" s="6" t="s">
        <v>16</v>
      </c>
      <c r="F182" s="6" t="s">
        <v>23</v>
      </c>
      <c r="G182" s="5" t="s">
        <v>24</v>
      </c>
      <c r="H182" s="5" t="str">
        <f>_xlfn.XLOOKUP(G182,Staff_Lookup!$A$2:$A$7,Staff_Lookup!$B$2:$B$7,"Not Found")</f>
        <v>Michael Brown</v>
      </c>
      <c r="I182" s="7">
        <v>12</v>
      </c>
      <c r="J182" s="7">
        <v>11</v>
      </c>
      <c r="K182" s="7">
        <v>67</v>
      </c>
      <c r="L182" s="7">
        <v>78</v>
      </c>
      <c r="M182" s="8">
        <v>150</v>
      </c>
      <c r="N182" s="7">
        <v>3</v>
      </c>
      <c r="O182">
        <f t="shared" si="15"/>
        <v>11</v>
      </c>
      <c r="P182" s="4">
        <f t="shared" si="16"/>
        <v>0.91666666666666663</v>
      </c>
      <c r="Q182" t="str">
        <f t="shared" si="17"/>
        <v>Completed</v>
      </c>
    </row>
    <row r="183" spans="1:17" x14ac:dyDescent="0.35">
      <c r="A183" s="5" t="s">
        <v>393</v>
      </c>
      <c r="B183" s="6" t="s">
        <v>394</v>
      </c>
      <c r="C183" s="9">
        <v>46362</v>
      </c>
      <c r="D183" s="6" t="s">
        <v>15</v>
      </c>
      <c r="E183" s="6" t="s">
        <v>16</v>
      </c>
      <c r="F183" s="6" t="s">
        <v>29</v>
      </c>
      <c r="G183" s="5" t="s">
        <v>18</v>
      </c>
      <c r="H183" s="5" t="str">
        <f>_xlfn.XLOOKUP(G183,Staff_Lookup!$A$2:$A$7,Staff_Lookup!$B$2:$B$7,"Not Found")</f>
        <v>Rachel Morgan</v>
      </c>
      <c r="I183" s="7">
        <v>8</v>
      </c>
      <c r="J183" s="7">
        <v>6</v>
      </c>
      <c r="K183" s="7">
        <v>78</v>
      </c>
      <c r="L183" s="7">
        <v>96</v>
      </c>
      <c r="M183" s="8">
        <v>150</v>
      </c>
      <c r="N183" s="7">
        <v>3</v>
      </c>
      <c r="O183">
        <f t="shared" si="15"/>
        <v>18</v>
      </c>
      <c r="P183" s="4">
        <f t="shared" si="16"/>
        <v>0.75</v>
      </c>
      <c r="Q183" t="str">
        <f t="shared" si="17"/>
        <v>Needs Follow-Up</v>
      </c>
    </row>
    <row r="184" spans="1:17" x14ac:dyDescent="0.35">
      <c r="A184" s="5" t="s">
        <v>395</v>
      </c>
      <c r="B184" s="6" t="s">
        <v>396</v>
      </c>
      <c r="C184" s="9">
        <v>46363</v>
      </c>
      <c r="D184" s="6" t="s">
        <v>27</v>
      </c>
      <c r="E184" s="6" t="s">
        <v>33</v>
      </c>
      <c r="F184" s="6" t="s">
        <v>23</v>
      </c>
      <c r="G184" s="5" t="s">
        <v>57</v>
      </c>
      <c r="H184" s="5" t="str">
        <f>_xlfn.XLOOKUP(G184,Staff_Lookup!$A$2:$A$7,Staff_Lookup!$B$2:$B$7,"Not Found")</f>
        <v>Ahmed Hassan</v>
      </c>
      <c r="I184" s="7">
        <v>10</v>
      </c>
      <c r="J184" s="7">
        <v>10</v>
      </c>
      <c r="K184" s="7">
        <v>58</v>
      </c>
      <c r="L184" s="7">
        <v>65</v>
      </c>
      <c r="M184" s="8">
        <v>100</v>
      </c>
      <c r="N184" s="7">
        <v>3</v>
      </c>
      <c r="O184">
        <f t="shared" si="15"/>
        <v>7</v>
      </c>
      <c r="P184" s="4">
        <f t="shared" si="16"/>
        <v>1</v>
      </c>
      <c r="Q184" t="str">
        <f t="shared" si="17"/>
        <v>Completed</v>
      </c>
    </row>
    <row r="185" spans="1:17" x14ac:dyDescent="0.35">
      <c r="A185" s="5" t="s">
        <v>397</v>
      </c>
      <c r="B185" s="6" t="s">
        <v>398</v>
      </c>
      <c r="C185" s="9">
        <v>46363</v>
      </c>
      <c r="D185" s="6" t="s">
        <v>21</v>
      </c>
      <c r="E185" s="6" t="s">
        <v>28</v>
      </c>
      <c r="F185" s="6" t="s">
        <v>29</v>
      </c>
      <c r="G185" s="5" t="s">
        <v>59</v>
      </c>
      <c r="H185" s="5" t="str">
        <f>_xlfn.XLOOKUP(G185,Staff_Lookup!$A$2:$A$7,Staff_Lookup!$B$2:$B$7,"Not Found")</f>
        <v>Jennifer Lee</v>
      </c>
      <c r="I185" s="7">
        <v>12</v>
      </c>
      <c r="J185" s="7">
        <v>11</v>
      </c>
      <c r="K185" s="7">
        <v>70</v>
      </c>
      <c r="L185" s="7">
        <v>84</v>
      </c>
      <c r="M185" s="8">
        <v>125</v>
      </c>
      <c r="N185" s="7">
        <v>4</v>
      </c>
      <c r="O185">
        <f t="shared" si="15"/>
        <v>14</v>
      </c>
      <c r="P185" s="4">
        <f t="shared" si="16"/>
        <v>0.91666666666666663</v>
      </c>
      <c r="Q185" t="str">
        <f t="shared" si="17"/>
        <v>Completed</v>
      </c>
    </row>
    <row r="186" spans="1:17" x14ac:dyDescent="0.35">
      <c r="A186" s="5" t="s">
        <v>399</v>
      </c>
      <c r="B186" s="6" t="s">
        <v>400</v>
      </c>
      <c r="C186" s="9">
        <v>46364</v>
      </c>
      <c r="D186" s="6" t="s">
        <v>15</v>
      </c>
      <c r="E186" s="6" t="s">
        <v>22</v>
      </c>
      <c r="F186" s="6" t="s">
        <v>17</v>
      </c>
      <c r="G186" s="5" t="s">
        <v>34</v>
      </c>
      <c r="H186" s="5" t="str">
        <f>_xlfn.XLOOKUP(G186,Staff_Lookup!$A$2:$A$7,Staff_Lookup!$B$2:$B$7,"Not Found")</f>
        <v>Carlos Martinez</v>
      </c>
      <c r="I186" s="7">
        <v>8</v>
      </c>
      <c r="J186" s="7">
        <v>6</v>
      </c>
      <c r="K186" s="7">
        <v>50</v>
      </c>
      <c r="L186" s="7">
        <v>71</v>
      </c>
      <c r="M186" s="8">
        <v>150</v>
      </c>
      <c r="N186" s="7">
        <v>4</v>
      </c>
      <c r="O186">
        <f t="shared" si="15"/>
        <v>21</v>
      </c>
      <c r="P186" s="4">
        <f t="shared" si="16"/>
        <v>0.75</v>
      </c>
      <c r="Q186" t="str">
        <f t="shared" si="17"/>
        <v>Needs Follow-Up</v>
      </c>
    </row>
    <row r="187" spans="1:17" x14ac:dyDescent="0.35">
      <c r="A187" s="5" t="s">
        <v>401</v>
      </c>
      <c r="B187" s="6" t="s">
        <v>402</v>
      </c>
      <c r="C187" s="9">
        <v>46364</v>
      </c>
      <c r="D187" s="6" t="s">
        <v>27</v>
      </c>
      <c r="E187" s="6" t="s">
        <v>16</v>
      </c>
      <c r="F187" s="6" t="s">
        <v>23</v>
      </c>
      <c r="G187" s="5" t="s">
        <v>30</v>
      </c>
      <c r="H187" s="5" t="str">
        <f>_xlfn.XLOOKUP(G187,Staff_Lookup!$A$2:$A$7,Staff_Lookup!$B$2:$B$7,"Not Found")</f>
        <v>Priya Patel</v>
      </c>
      <c r="I187" s="7">
        <v>10</v>
      </c>
      <c r="J187" s="7">
        <v>7</v>
      </c>
      <c r="K187" s="7">
        <v>61</v>
      </c>
      <c r="L187" s="7">
        <v>70</v>
      </c>
      <c r="M187" s="8">
        <v>100</v>
      </c>
      <c r="N187" s="7">
        <v>2</v>
      </c>
      <c r="O187">
        <f t="shared" si="15"/>
        <v>9</v>
      </c>
      <c r="P187" s="4">
        <f t="shared" si="16"/>
        <v>0.7</v>
      </c>
      <c r="Q187" t="str">
        <f t="shared" si="17"/>
        <v>Needs Follow-Up</v>
      </c>
    </row>
    <row r="188" spans="1:17" x14ac:dyDescent="0.35">
      <c r="A188" s="5" t="s">
        <v>403</v>
      </c>
      <c r="B188" s="6" t="s">
        <v>404</v>
      </c>
      <c r="C188" s="9">
        <v>46365</v>
      </c>
      <c r="D188" s="6" t="s">
        <v>21</v>
      </c>
      <c r="E188" s="6" t="s">
        <v>16</v>
      </c>
      <c r="F188" s="6" t="s">
        <v>17</v>
      </c>
      <c r="G188" s="5" t="s">
        <v>30</v>
      </c>
      <c r="H188" s="5" t="str">
        <f>_xlfn.XLOOKUP(G188,Staff_Lookup!$A$2:$A$7,Staff_Lookup!$B$2:$B$7,"Not Found")</f>
        <v>Priya Patel</v>
      </c>
      <c r="I188" s="7">
        <v>8</v>
      </c>
      <c r="J188" s="7">
        <v>8</v>
      </c>
      <c r="K188" s="7">
        <v>73</v>
      </c>
      <c r="L188" s="7">
        <v>89</v>
      </c>
      <c r="M188" s="8">
        <v>100</v>
      </c>
      <c r="N188" s="7">
        <v>4</v>
      </c>
      <c r="O188">
        <f t="shared" si="15"/>
        <v>16</v>
      </c>
      <c r="P188" s="4">
        <f t="shared" si="16"/>
        <v>1</v>
      </c>
      <c r="Q188" t="str">
        <f t="shared" si="17"/>
        <v>Completed</v>
      </c>
    </row>
    <row r="189" spans="1:17" x14ac:dyDescent="0.35">
      <c r="A189" s="5" t="s">
        <v>405</v>
      </c>
      <c r="B189" s="6" t="s">
        <v>406</v>
      </c>
      <c r="C189" s="9">
        <v>46365</v>
      </c>
      <c r="D189" s="6" t="s">
        <v>15</v>
      </c>
      <c r="E189" s="6" t="s">
        <v>33</v>
      </c>
      <c r="F189" s="6" t="s">
        <v>23</v>
      </c>
      <c r="G189" s="5" t="s">
        <v>24</v>
      </c>
      <c r="H189" s="5" t="str">
        <f>_xlfn.XLOOKUP(G189,Staff_Lookup!$A$2:$A$7,Staff_Lookup!$B$2:$B$7,"Not Found")</f>
        <v>Michael Brown</v>
      </c>
      <c r="I189" s="7">
        <v>10</v>
      </c>
      <c r="J189" s="7">
        <v>9</v>
      </c>
      <c r="K189" s="7">
        <v>53</v>
      </c>
      <c r="L189" s="7">
        <v>76</v>
      </c>
      <c r="M189" s="8">
        <v>150</v>
      </c>
      <c r="N189" s="7">
        <v>4</v>
      </c>
      <c r="O189">
        <f t="shared" si="15"/>
        <v>23</v>
      </c>
      <c r="P189" s="4">
        <f t="shared" si="16"/>
        <v>0.9</v>
      </c>
      <c r="Q189" t="str">
        <f t="shared" si="17"/>
        <v>Completed</v>
      </c>
    </row>
    <row r="190" spans="1:17" x14ac:dyDescent="0.35">
      <c r="A190" s="5" t="s">
        <v>407</v>
      </c>
      <c r="B190" s="6" t="s">
        <v>408</v>
      </c>
      <c r="C190" s="9">
        <v>46366</v>
      </c>
      <c r="D190" s="6" t="s">
        <v>15</v>
      </c>
      <c r="E190" s="6" t="s">
        <v>28</v>
      </c>
      <c r="F190" s="6" t="s">
        <v>29</v>
      </c>
      <c r="G190" s="5" t="s">
        <v>18</v>
      </c>
      <c r="H190" s="5" t="str">
        <f>_xlfn.XLOOKUP(G190,Staff_Lookup!$A$2:$A$7,Staff_Lookup!$B$2:$B$7,"Not Found")</f>
        <v>Rachel Morgan</v>
      </c>
      <c r="I190" s="7">
        <v>12</v>
      </c>
      <c r="J190" s="7">
        <v>10</v>
      </c>
      <c r="K190" s="7">
        <v>64</v>
      </c>
      <c r="L190" s="7">
        <v>75</v>
      </c>
      <c r="M190" s="8">
        <v>150</v>
      </c>
      <c r="N190" s="7">
        <v>3</v>
      </c>
      <c r="O190">
        <f t="shared" si="15"/>
        <v>11</v>
      </c>
      <c r="P190" s="4">
        <f t="shared" si="16"/>
        <v>0.83333333333333337</v>
      </c>
      <c r="Q190" t="str">
        <f t="shared" si="17"/>
        <v>Completed</v>
      </c>
    </row>
    <row r="191" spans="1:17" x14ac:dyDescent="0.35">
      <c r="A191" s="5" t="s">
        <v>409</v>
      </c>
      <c r="B191" s="6" t="s">
        <v>410</v>
      </c>
      <c r="C191" s="9">
        <v>46366</v>
      </c>
      <c r="D191" s="6" t="s">
        <v>27</v>
      </c>
      <c r="E191" s="6" t="s">
        <v>22</v>
      </c>
      <c r="F191" s="6" t="s">
        <v>17</v>
      </c>
      <c r="G191" s="5" t="s">
        <v>57</v>
      </c>
      <c r="H191" s="5" t="str">
        <f>_xlfn.XLOOKUP(G191,Staff_Lookup!$A$2:$A$7,Staff_Lookup!$B$2:$B$7,"Not Found")</f>
        <v>Ahmed Hassan</v>
      </c>
      <c r="I191" s="7">
        <v>8</v>
      </c>
      <c r="J191" s="7">
        <v>5</v>
      </c>
      <c r="K191" s="7">
        <v>76</v>
      </c>
      <c r="L191" s="7">
        <v>94</v>
      </c>
      <c r="M191" s="8">
        <v>100</v>
      </c>
      <c r="N191" s="7">
        <v>4</v>
      </c>
      <c r="O191">
        <f t="shared" si="15"/>
        <v>18</v>
      </c>
      <c r="P191" s="4">
        <f t="shared" si="16"/>
        <v>0.625</v>
      </c>
      <c r="Q191" t="str">
        <f t="shared" si="17"/>
        <v>Needs Follow-Up</v>
      </c>
    </row>
    <row r="192" spans="1:17" x14ac:dyDescent="0.35">
      <c r="A192" s="5" t="s">
        <v>411</v>
      </c>
      <c r="B192" s="6" t="s">
        <v>412</v>
      </c>
      <c r="C192" s="9">
        <v>46367</v>
      </c>
      <c r="D192" s="6" t="s">
        <v>21</v>
      </c>
      <c r="E192" s="6" t="s">
        <v>16</v>
      </c>
      <c r="F192" s="6" t="s">
        <v>29</v>
      </c>
      <c r="G192" s="5" t="s">
        <v>59</v>
      </c>
      <c r="H192" s="5" t="str">
        <f>_xlfn.XLOOKUP(G192,Staff_Lookup!$A$2:$A$7,Staff_Lookup!$B$2:$B$7,"Not Found")</f>
        <v>Jennifer Lee</v>
      </c>
      <c r="I192" s="7">
        <v>10</v>
      </c>
      <c r="J192" s="7">
        <v>10</v>
      </c>
      <c r="K192" s="7">
        <v>56</v>
      </c>
      <c r="L192" s="7">
        <v>63</v>
      </c>
      <c r="M192" s="8">
        <v>125</v>
      </c>
      <c r="N192" s="7">
        <v>3</v>
      </c>
      <c r="O192">
        <f t="shared" si="15"/>
        <v>7</v>
      </c>
      <c r="P192" s="4">
        <f t="shared" si="16"/>
        <v>1</v>
      </c>
      <c r="Q192" t="str">
        <f t="shared" si="17"/>
        <v>Completed</v>
      </c>
    </row>
    <row r="193" spans="1:17" x14ac:dyDescent="0.35">
      <c r="A193" s="5" t="s">
        <v>413</v>
      </c>
      <c r="B193" s="6" t="s">
        <v>414</v>
      </c>
      <c r="C193" s="9">
        <v>46367</v>
      </c>
      <c r="D193" s="6" t="s">
        <v>15</v>
      </c>
      <c r="E193" s="6" t="s">
        <v>16</v>
      </c>
      <c r="F193" s="6" t="s">
        <v>17</v>
      </c>
      <c r="G193" s="5" t="s">
        <v>34</v>
      </c>
      <c r="H193" s="5" t="str">
        <f>_xlfn.XLOOKUP(G193,Staff_Lookup!$A$2:$A$7,Staff_Lookup!$B$2:$B$7,"Not Found")</f>
        <v>Carlos Martinez</v>
      </c>
      <c r="I193" s="7">
        <v>12</v>
      </c>
      <c r="J193" s="7">
        <v>11</v>
      </c>
      <c r="K193" s="7">
        <v>67</v>
      </c>
      <c r="L193" s="7">
        <v>81</v>
      </c>
      <c r="M193" s="8">
        <v>150</v>
      </c>
      <c r="N193" s="7">
        <v>4</v>
      </c>
      <c r="O193">
        <f t="shared" si="15"/>
        <v>14</v>
      </c>
      <c r="P193" s="4">
        <f t="shared" si="16"/>
        <v>0.91666666666666663</v>
      </c>
      <c r="Q193" t="str">
        <f t="shared" si="17"/>
        <v>Completed</v>
      </c>
    </row>
    <row r="194" spans="1:17" x14ac:dyDescent="0.35">
      <c r="A194" s="5" t="s">
        <v>415</v>
      </c>
      <c r="B194" s="6" t="s">
        <v>416</v>
      </c>
      <c r="C194" s="9">
        <v>46368</v>
      </c>
      <c r="D194" s="6" t="s">
        <v>27</v>
      </c>
      <c r="E194" s="6" t="s">
        <v>33</v>
      </c>
      <c r="F194" s="6" t="s">
        <v>23</v>
      </c>
      <c r="G194" s="5" t="s">
        <v>30</v>
      </c>
      <c r="H194" s="5" t="str">
        <f>_xlfn.XLOOKUP(G194,Staff_Lookup!$A$2:$A$7,Staff_Lookup!$B$2:$B$7,"Not Found")</f>
        <v>Priya Patel</v>
      </c>
      <c r="I194" s="7">
        <v>10</v>
      </c>
      <c r="J194" s="7">
        <v>8</v>
      </c>
      <c r="K194" s="7">
        <v>48</v>
      </c>
      <c r="L194" s="7">
        <v>69</v>
      </c>
      <c r="M194" s="8">
        <v>100</v>
      </c>
      <c r="N194" s="7">
        <v>4</v>
      </c>
      <c r="O194">
        <f t="shared" ref="O194:O201" si="18">L194-K194</f>
        <v>21</v>
      </c>
      <c r="P194" s="4">
        <f t="shared" ref="P194:P201" si="19">J194/I194</f>
        <v>0.8</v>
      </c>
      <c r="Q194" t="str">
        <f t="shared" ref="Q194:Q201" si="20">IF(P194&gt;=$T$15, "Completed", "Needs Follow-Up")</f>
        <v>Completed</v>
      </c>
    </row>
    <row r="195" spans="1:17" x14ac:dyDescent="0.35">
      <c r="A195" s="5" t="s">
        <v>417</v>
      </c>
      <c r="B195" s="6" t="s">
        <v>418</v>
      </c>
      <c r="C195" s="9">
        <v>46368</v>
      </c>
      <c r="D195" s="6" t="s">
        <v>21</v>
      </c>
      <c r="E195" s="6" t="s">
        <v>28</v>
      </c>
      <c r="F195" s="6" t="s">
        <v>29</v>
      </c>
      <c r="G195" s="5" t="s">
        <v>24</v>
      </c>
      <c r="H195" s="5" t="str">
        <f>_xlfn.XLOOKUP(G195,Staff_Lookup!$A$2:$A$7,Staff_Lookup!$B$2:$B$7,"Not Found")</f>
        <v>Michael Brown</v>
      </c>
      <c r="I195" s="7">
        <v>12</v>
      </c>
      <c r="J195" s="7">
        <v>12</v>
      </c>
      <c r="K195" s="7">
        <v>59</v>
      </c>
      <c r="L195" s="7">
        <v>68</v>
      </c>
      <c r="M195" s="8">
        <v>125</v>
      </c>
      <c r="N195" s="7">
        <v>3</v>
      </c>
      <c r="O195">
        <f t="shared" si="18"/>
        <v>9</v>
      </c>
      <c r="P195" s="4">
        <f t="shared" si="19"/>
        <v>1</v>
      </c>
      <c r="Q195" t="str">
        <f t="shared" si="20"/>
        <v>Completed</v>
      </c>
    </row>
    <row r="196" spans="1:17" x14ac:dyDescent="0.35">
      <c r="A196" s="5" t="s">
        <v>419</v>
      </c>
      <c r="B196" s="6" t="s">
        <v>420</v>
      </c>
      <c r="C196" s="9">
        <v>46369</v>
      </c>
      <c r="D196" s="6" t="s">
        <v>15</v>
      </c>
      <c r="E196" s="6" t="s">
        <v>22</v>
      </c>
      <c r="F196" s="6" t="s">
        <v>23</v>
      </c>
      <c r="G196" s="5" t="s">
        <v>18</v>
      </c>
      <c r="H196" s="5" t="str">
        <f>_xlfn.XLOOKUP(G196,Staff_Lookup!$A$2:$A$7,Staff_Lookup!$B$2:$B$7,"Not Found")</f>
        <v>Rachel Morgan</v>
      </c>
      <c r="I196" s="7">
        <v>8</v>
      </c>
      <c r="J196" s="7">
        <v>7</v>
      </c>
      <c r="K196" s="7">
        <v>70</v>
      </c>
      <c r="L196" s="7">
        <v>86</v>
      </c>
      <c r="M196" s="8">
        <v>150</v>
      </c>
      <c r="N196" s="7">
        <v>5</v>
      </c>
      <c r="O196">
        <f t="shared" si="18"/>
        <v>16</v>
      </c>
      <c r="P196" s="4">
        <f t="shared" si="19"/>
        <v>0.875</v>
      </c>
      <c r="Q196" t="str">
        <f t="shared" si="20"/>
        <v>Completed</v>
      </c>
    </row>
    <row r="197" spans="1:17" x14ac:dyDescent="0.35">
      <c r="A197" s="5" t="s">
        <v>421</v>
      </c>
      <c r="B197" s="6" t="s">
        <v>422</v>
      </c>
      <c r="C197" s="9">
        <v>46369</v>
      </c>
      <c r="D197" s="6" t="s">
        <v>15</v>
      </c>
      <c r="E197" s="6" t="s">
        <v>16</v>
      </c>
      <c r="F197" s="6" t="s">
        <v>29</v>
      </c>
      <c r="G197" s="5" t="s">
        <v>18</v>
      </c>
      <c r="H197" s="5" t="str">
        <f>_xlfn.XLOOKUP(G197,Staff_Lookup!$A$2:$A$7,Staff_Lookup!$B$2:$B$7,"Not Found")</f>
        <v>Rachel Morgan</v>
      </c>
      <c r="I197" s="7">
        <v>10</v>
      </c>
      <c r="J197" s="7">
        <v>8</v>
      </c>
      <c r="K197" s="7">
        <v>51</v>
      </c>
      <c r="L197" s="7">
        <v>74</v>
      </c>
      <c r="M197" s="8">
        <v>150</v>
      </c>
      <c r="N197" s="7">
        <v>4</v>
      </c>
      <c r="O197">
        <f t="shared" si="18"/>
        <v>23</v>
      </c>
      <c r="P197" s="4">
        <f t="shared" si="19"/>
        <v>0.8</v>
      </c>
      <c r="Q197" t="str">
        <f t="shared" si="20"/>
        <v>Completed</v>
      </c>
    </row>
    <row r="198" spans="1:17" x14ac:dyDescent="0.35">
      <c r="A198" s="5" t="s">
        <v>423</v>
      </c>
      <c r="B198" s="6" t="s">
        <v>424</v>
      </c>
      <c r="C198" s="9">
        <v>46370</v>
      </c>
      <c r="D198" s="6" t="s">
        <v>27</v>
      </c>
      <c r="E198" s="6" t="s">
        <v>16</v>
      </c>
      <c r="F198" s="6" t="s">
        <v>17</v>
      </c>
      <c r="G198" s="5" t="s">
        <v>57</v>
      </c>
      <c r="H198" s="5" t="str">
        <f>_xlfn.XLOOKUP(G198,Staff_Lookup!$A$2:$A$7,Staff_Lookup!$B$2:$B$7,"Not Found")</f>
        <v>Ahmed Hassan</v>
      </c>
      <c r="I198" s="7">
        <v>12</v>
      </c>
      <c r="J198" s="7">
        <v>9</v>
      </c>
      <c r="K198" s="7">
        <v>62</v>
      </c>
      <c r="L198" s="7">
        <v>73</v>
      </c>
      <c r="M198" s="8">
        <v>100</v>
      </c>
      <c r="N198" s="7">
        <v>2</v>
      </c>
      <c r="O198">
        <f t="shared" si="18"/>
        <v>11</v>
      </c>
      <c r="P198" s="4">
        <f t="shared" si="19"/>
        <v>0.75</v>
      </c>
      <c r="Q198" t="str">
        <f t="shared" si="20"/>
        <v>Needs Follow-Up</v>
      </c>
    </row>
    <row r="199" spans="1:17" x14ac:dyDescent="0.35">
      <c r="A199" s="5" t="s">
        <v>425</v>
      </c>
      <c r="B199" s="6" t="s">
        <v>426</v>
      </c>
      <c r="C199" s="9">
        <v>46370</v>
      </c>
      <c r="D199" s="6" t="s">
        <v>21</v>
      </c>
      <c r="E199" s="6" t="s">
        <v>33</v>
      </c>
      <c r="F199" s="6" t="s">
        <v>23</v>
      </c>
      <c r="G199" s="5" t="s">
        <v>59</v>
      </c>
      <c r="H199" s="5" t="str">
        <f>_xlfn.XLOOKUP(G199,Staff_Lookup!$A$2:$A$7,Staff_Lookup!$B$2:$B$7,"Not Found")</f>
        <v>Jennifer Lee</v>
      </c>
      <c r="I199" s="7">
        <v>8</v>
      </c>
      <c r="J199" s="7">
        <v>8</v>
      </c>
      <c r="K199" s="7">
        <v>73</v>
      </c>
      <c r="L199" s="7">
        <v>91</v>
      </c>
      <c r="M199" s="8">
        <v>125</v>
      </c>
      <c r="N199" s="7">
        <v>4</v>
      </c>
      <c r="O199">
        <f t="shared" si="18"/>
        <v>18</v>
      </c>
      <c r="P199" s="4">
        <f t="shared" si="19"/>
        <v>1</v>
      </c>
      <c r="Q199" t="str">
        <f t="shared" si="20"/>
        <v>Completed</v>
      </c>
    </row>
    <row r="200" spans="1:17" x14ac:dyDescent="0.35">
      <c r="A200" s="5" t="s">
        <v>427</v>
      </c>
      <c r="B200" s="6" t="s">
        <v>428</v>
      </c>
      <c r="C200" s="9">
        <v>46371</v>
      </c>
      <c r="D200" s="6" t="s">
        <v>15</v>
      </c>
      <c r="E200" s="6" t="s">
        <v>28</v>
      </c>
      <c r="F200" s="6" t="s">
        <v>17</v>
      </c>
      <c r="G200" s="5" t="s">
        <v>34</v>
      </c>
      <c r="H200" s="5" t="str">
        <f>_xlfn.XLOOKUP(G200,Staff_Lookup!$A$2:$A$7,Staff_Lookup!$B$2:$B$7,"Not Found")</f>
        <v>Carlos Martinez</v>
      </c>
      <c r="I200" s="7">
        <v>12</v>
      </c>
      <c r="J200" s="7">
        <v>11</v>
      </c>
      <c r="K200" s="7">
        <v>54</v>
      </c>
      <c r="L200" s="7">
        <v>61</v>
      </c>
      <c r="M200" s="8">
        <v>150</v>
      </c>
      <c r="N200" s="7">
        <v>3</v>
      </c>
      <c r="O200">
        <f t="shared" si="18"/>
        <v>7</v>
      </c>
      <c r="P200" s="4">
        <f t="shared" si="19"/>
        <v>0.91666666666666663</v>
      </c>
      <c r="Q200" t="str">
        <f t="shared" si="20"/>
        <v>Completed</v>
      </c>
    </row>
    <row r="201" spans="1:17" x14ac:dyDescent="0.35">
      <c r="A201" s="5" t="s">
        <v>429</v>
      </c>
      <c r="B201" s="6" t="s">
        <v>430</v>
      </c>
      <c r="C201" s="9">
        <v>46371</v>
      </c>
      <c r="D201" s="6" t="s">
        <v>27</v>
      </c>
      <c r="E201" s="6" t="s">
        <v>22</v>
      </c>
      <c r="F201" s="6" t="s">
        <v>23</v>
      </c>
      <c r="G201" s="5" t="s">
        <v>30</v>
      </c>
      <c r="H201" s="5" t="str">
        <f>_xlfn.XLOOKUP(G201,Staff_Lookup!$A$2:$A$7,Staff_Lookup!$B$2:$B$7,"Not Found")</f>
        <v>Priya Patel</v>
      </c>
      <c r="I201" s="7">
        <v>8</v>
      </c>
      <c r="J201" s="7">
        <v>6</v>
      </c>
      <c r="K201" s="7">
        <v>65</v>
      </c>
      <c r="L201" s="7">
        <v>79</v>
      </c>
      <c r="M201" s="8">
        <v>100</v>
      </c>
      <c r="N201" s="7">
        <v>4</v>
      </c>
      <c r="O201">
        <f t="shared" si="18"/>
        <v>14</v>
      </c>
      <c r="P201" s="4">
        <f t="shared" si="19"/>
        <v>0.75</v>
      </c>
      <c r="Q201" t="str">
        <f t="shared" si="20"/>
        <v>Needs Follow-Up</v>
      </c>
    </row>
  </sheetData>
  <phoneticPr fontId="2" type="noConversion"/>
  <conditionalFormatting sqref="O2:O2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{3328ACCA-D9C2-4404-9FBB-332A19AB6A7E}</x14:id>
        </ext>
      </extLst>
    </cfRule>
  </conditionalFormatting>
  <conditionalFormatting sqref="P2:P201">
    <cfRule type="cellIs" dxfId="5" priority="2" operator="lessThan">
      <formula>$T$15</formula>
    </cfRule>
  </conditionalFormatting>
  <dataValidations disablePrompts="1" count="1">
    <dataValidation type="list" allowBlank="1" showInputMessage="1" showErrorMessage="1" sqref="F2:F201" xr:uid="{65C944D8-463C-4445-A0EF-A46FC088E82E}">
      <formula1>"In Person, Online, Hybrid"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28ACCA-D9C2-4404-9FBB-332A19AB6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O2:O201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D313-3D85-4FCF-BC5F-30BC137FE6F3}">
  <dimension ref="A1:B7"/>
  <sheetViews>
    <sheetView workbookViewId="0">
      <selection activeCell="A7" sqref="A7"/>
    </sheetView>
  </sheetViews>
  <sheetFormatPr defaultRowHeight="14.5" x14ac:dyDescent="0.35"/>
  <cols>
    <col min="1" max="1" width="7.453125" bestFit="1" customWidth="1"/>
    <col min="2" max="2" width="13.54296875" bestFit="1" customWidth="1"/>
  </cols>
  <sheetData>
    <row r="1" spans="1:2" ht="29.5" thickBot="1" x14ac:dyDescent="0.4">
      <c r="A1" s="13" t="s">
        <v>6</v>
      </c>
      <c r="B1" s="13" t="s">
        <v>446</v>
      </c>
    </row>
    <row r="2" spans="1:2" x14ac:dyDescent="0.35">
      <c r="A2" t="s">
        <v>18</v>
      </c>
      <c r="B2" t="s">
        <v>447</v>
      </c>
    </row>
    <row r="3" spans="1:2" x14ac:dyDescent="0.35">
      <c r="A3" t="s">
        <v>24</v>
      </c>
      <c r="B3" t="s">
        <v>448</v>
      </c>
    </row>
    <row r="4" spans="1:2" x14ac:dyDescent="0.35">
      <c r="A4" t="s">
        <v>30</v>
      </c>
      <c r="B4" t="s">
        <v>449</v>
      </c>
    </row>
    <row r="5" spans="1:2" x14ac:dyDescent="0.35">
      <c r="A5" t="s">
        <v>34</v>
      </c>
      <c r="B5" t="s">
        <v>450</v>
      </c>
    </row>
    <row r="6" spans="1:2" x14ac:dyDescent="0.35">
      <c r="A6" t="s">
        <v>59</v>
      </c>
      <c r="B6" t="s">
        <v>451</v>
      </c>
    </row>
    <row r="7" spans="1:2" x14ac:dyDescent="0.35">
      <c r="A7" t="s">
        <v>57</v>
      </c>
      <c r="B7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123B-0FC4-4575-AF0B-3074FDCAB51E}">
  <dimension ref="A1:F10"/>
  <sheetViews>
    <sheetView workbookViewId="0">
      <selection activeCell="F20" sqref="F20"/>
    </sheetView>
  </sheetViews>
  <sheetFormatPr defaultRowHeight="14.5" x14ac:dyDescent="0.35"/>
  <cols>
    <col min="1" max="1" width="12.26953125" bestFit="1" customWidth="1"/>
    <col min="2" max="2" width="15.453125" bestFit="1" customWidth="1"/>
    <col min="3" max="3" width="14.36328125" bestFit="1" customWidth="1"/>
    <col min="4" max="4" width="15.1796875" bestFit="1" customWidth="1"/>
    <col min="5" max="5" width="6.26953125" bestFit="1" customWidth="1"/>
    <col min="6" max="6" width="12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13</v>
      </c>
      <c r="B2" t="s">
        <v>14</v>
      </c>
      <c r="C2" s="1">
        <v>46267</v>
      </c>
      <c r="D2" t="s">
        <v>15</v>
      </c>
      <c r="E2" t="s">
        <v>16</v>
      </c>
      <c r="F2" t="s">
        <v>17</v>
      </c>
    </row>
    <row r="3" spans="1:6" x14ac:dyDescent="0.35">
      <c r="A3" t="s">
        <v>19</v>
      </c>
      <c r="B3" t="s">
        <v>20</v>
      </c>
      <c r="C3" s="1">
        <v>46268</v>
      </c>
      <c r="D3" t="s">
        <v>21</v>
      </c>
      <c r="E3" t="s">
        <v>22</v>
      </c>
      <c r="F3" t="s">
        <v>23</v>
      </c>
    </row>
    <row r="4" spans="1:6" x14ac:dyDescent="0.35">
      <c r="A4" t="s">
        <v>25</v>
      </c>
      <c r="B4" t="s">
        <v>26</v>
      </c>
      <c r="C4" s="1">
        <v>46269</v>
      </c>
      <c r="D4" t="s">
        <v>27</v>
      </c>
      <c r="E4" t="s">
        <v>28</v>
      </c>
      <c r="F4" t="s">
        <v>29</v>
      </c>
    </row>
    <row r="5" spans="1:6" x14ac:dyDescent="0.35">
      <c r="A5" t="s">
        <v>31</v>
      </c>
      <c r="B5" t="s">
        <v>32</v>
      </c>
      <c r="C5" s="1">
        <v>46270</v>
      </c>
      <c r="D5" t="s">
        <v>15</v>
      </c>
      <c r="E5" t="s">
        <v>33</v>
      </c>
      <c r="F5" t="s">
        <v>23</v>
      </c>
    </row>
    <row r="6" spans="1:6" x14ac:dyDescent="0.35">
      <c r="A6" t="s">
        <v>35</v>
      </c>
      <c r="B6" t="s">
        <v>36</v>
      </c>
      <c r="C6" s="1">
        <v>46273</v>
      </c>
      <c r="D6" t="s">
        <v>21</v>
      </c>
      <c r="E6" t="s">
        <v>16</v>
      </c>
      <c r="F6" t="s">
        <v>17</v>
      </c>
    </row>
    <row r="7" spans="1:6" x14ac:dyDescent="0.35">
      <c r="A7" t="s">
        <v>38</v>
      </c>
      <c r="B7" t="s">
        <v>37</v>
      </c>
      <c r="C7" s="1">
        <v>46274</v>
      </c>
      <c r="D7" t="s">
        <v>15</v>
      </c>
      <c r="E7" t="s">
        <v>22</v>
      </c>
      <c r="F7" t="s">
        <v>23</v>
      </c>
    </row>
    <row r="8" spans="1:6" x14ac:dyDescent="0.35">
      <c r="A8" t="s">
        <v>39</v>
      </c>
      <c r="B8" t="s">
        <v>55</v>
      </c>
      <c r="C8" s="1">
        <v>46275</v>
      </c>
      <c r="D8" t="s">
        <v>15</v>
      </c>
      <c r="E8" t="s">
        <v>16</v>
      </c>
      <c r="F8" t="s">
        <v>17</v>
      </c>
    </row>
    <row r="9" spans="1:6" x14ac:dyDescent="0.35">
      <c r="A9" t="s">
        <v>40</v>
      </c>
      <c r="B9" t="s">
        <v>56</v>
      </c>
      <c r="C9" s="1">
        <v>46275</v>
      </c>
      <c r="D9" t="s">
        <v>27</v>
      </c>
      <c r="E9" t="s">
        <v>33</v>
      </c>
      <c r="F9" t="s">
        <v>23</v>
      </c>
    </row>
    <row r="10" spans="1:6" x14ac:dyDescent="0.35">
      <c r="A10" t="s">
        <v>41</v>
      </c>
      <c r="B10" t="s">
        <v>58</v>
      </c>
      <c r="C10" s="1">
        <v>46276</v>
      </c>
      <c r="D10" t="s">
        <v>21</v>
      </c>
      <c r="E10" t="s">
        <v>28</v>
      </c>
      <c r="F10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500A-E27E-4812-AB41-C2BDF0B490D6}">
  <dimension ref="A1"/>
  <sheetViews>
    <sheetView workbookViewId="0">
      <selection activeCell="C1" sqref="C1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16B0-6FE6-4263-9758-AB4283AD47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Start_Here</vt:lpstr>
      <vt:lpstr>Pivot_Table</vt:lpstr>
      <vt:lpstr>Final_Report</vt:lpstr>
      <vt:lpstr>Participant_Data</vt:lpstr>
      <vt:lpstr>Staff_Lookup</vt:lpstr>
      <vt:lpstr>Cleaning Data</vt:lpstr>
      <vt:lpstr>Region_Targets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Hossain</dc:creator>
  <cp:lastModifiedBy>Belal Hossain</cp:lastModifiedBy>
  <cp:lastPrinted>2026-10-10T19:13:55Z</cp:lastPrinted>
  <dcterms:created xsi:type="dcterms:W3CDTF">2026-09-15T23:17:33Z</dcterms:created>
  <dcterms:modified xsi:type="dcterms:W3CDTF">2026-10-10T19:22:21Z</dcterms:modified>
</cp:coreProperties>
</file>